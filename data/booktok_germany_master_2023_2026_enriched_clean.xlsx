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1668ef3ec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s_Master" sheetId="1" r:id="R8880adfa18124f38"/>
    <x:sheet xmlns:r="http://schemas.openxmlformats.org/officeDocument/2006/relationships" name="Books_Metadata" sheetId="2" r:id="R4af15c00d97e491d"/>
    <x:sheet xmlns:r="http://schemas.openxmlformats.org/officeDocument/2006/relationships" name="Title_Summary_Master" sheetId="3" r:id="Rd256c033d4ba4a10"/>
    <x:sheet xmlns:r="http://schemas.openxmlformats.org/officeDocument/2006/relationships" name="November_2024_Partial" sheetId="4" r:id="R8cf12cc65bb948bd"/>
    <x:sheet xmlns:r="http://schemas.openxmlformats.org/officeDocument/2006/relationships" name="Data_Quality" sheetId="5" r:id="R613bc0cf6d3d450d"/>
    <x:sheet xmlns:r="http://schemas.openxmlformats.org/officeDocument/2006/relationships" name="Methodology" sheetId="6" r:id="Rf0ccf0dc25fe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92400E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f7ccdefbe4ba5" /><Relationship Type="http://schemas.openxmlformats.org/officeDocument/2006/relationships/theme" Target="/xl/theme/theme1.xml" Id="Rf897cd60322248c6" /><Relationship Type="http://schemas.openxmlformats.org/officeDocument/2006/relationships/sharedStrings" Target="/xl/sharedStrings.xml" Id="R1298bf49c8cf47b5" /><Relationship Type="http://schemas.openxmlformats.org/officeDocument/2006/relationships/worksheet" Target="/xl/worksheets/sheet1.xml" Id="R8880adfa18124f38" /><Relationship Type="http://schemas.openxmlformats.org/officeDocument/2006/relationships/worksheet" Target="/xl/worksheets/sheet2.xml" Id="R4af15c00d97e491d" /><Relationship Type="http://schemas.openxmlformats.org/officeDocument/2006/relationships/worksheet" Target="/xl/worksheets/sheet3.xml" Id="Rd256c033d4ba4a10" /><Relationship Type="http://schemas.openxmlformats.org/officeDocument/2006/relationships/worksheet" Target="/xl/worksheets/sheet4.xml" Id="R8cf12cc65bb948bd" /><Relationship Type="http://schemas.openxmlformats.org/officeDocument/2006/relationships/worksheet" Target="/xl/worksheets/sheet5.xml" Id="R613bc0cf6d3d450d" /><Relationship Type="http://schemas.openxmlformats.org/officeDocument/2006/relationships/worksheet" Target="/xl/worksheets/sheet6.xml" Id="Rf0ccf0dc25fe41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48" hidden="0" customWidth="1"/>
    <x:col min="5" max="5" width="28" hidden="0" customWidth="1"/>
    <x:col min="6" max="6" width="25" hidden="0" customWidth="1"/>
    <x:col min="7" max="7" width="34" hidden="0" customWidth="1"/>
    <x:col min="8" max="8" width="12" hidden="0" customWidth="1"/>
    <x:col min="9" max="9" width="18" hidden="0" customWidth="1"/>
    <x:col min="10" max="10" width="20" hidden="0" customWidth="1"/>
  </x:cols>
  <x:sheetData>
    <x:row r="1">
      <x:c r="A1" s="10" t="str">
        <x:v>month</x:v>
      </x:c>
      <x:c r="B1" s="10" t="str">
        <x:v>booktok_rank</x:v>
      </x:c>
      <x:c r="C1" s="10" t="str">
        <x:v>title_as_listed</x:v>
      </x:c>
      <x:c r="D1" s="10" t="str">
        <x:v>canonical_title</x:v>
      </x:c>
      <x:c r="E1" s="10" t="str">
        <x:v>author</x:v>
      </x:c>
      <x:c r="F1" s="10" t="str">
        <x:v>list_type</x:v>
      </x:c>
      <x:c r="G1" s="10" t="str">
        <x:v>ranking_source</x:v>
      </x:c>
      <x:c r="H1" s="10" t="str">
        <x:v>month_key</x:v>
      </x:c>
      <x:c r="I1" s="10" t="str">
        <x:v>data_completeness</x:v>
      </x:c>
      <x:c r="J1" s="10" t="str">
        <x:v>main_analysis_include</x:v>
      </x:c>
    </x:row>
    <x:row r="2">
      <x:c r="A2" s="11" t="str">
        <x:v>2023-04</x:v>
      </x:c>
      <x:c r="B2" s="11" t="n">
        <x:v>1</x:v>
      </x:c>
      <x:c r="C2" s="11" t="str">
        <x:v>Die Mitternachtsbibliothek</x:v>
      </x:c>
      <x:c r="D2" s="11" t="str">
        <x:v>Die Mitternachtsbibliothek</x:v>
      </x:c>
      <x:c r="E2" s="11" t="str">
        <x:v>Matt Haig</x:v>
      </x:c>
      <x:c r="F2" s="11" t="str">
        <x:v>Official #BookTok Top 20</x:v>
      </x:c>
      <x:c r="G2" s="11" t="str">
        <x:v>Media Control &amp; TikTok</x:v>
      </x:c>
      <x:c r="H2" s="11" t="n">
        <x:v>202304</x:v>
      </x:c>
      <x:c r="I2" s="11" t="str">
        <x:v>Complete</x:v>
      </x:c>
      <x:c r="J2" s="11" t="str">
        <x:v>Yes</x:v>
      </x:c>
    </x:row>
    <x:row r="3">
      <x:c r="A3" s="11" t="str">
        <x:v>2023-04</x:v>
      </x:c>
      <x:c r="B3" s="11" t="n">
        <x:v>2</x:v>
      </x:c>
      <x:c r="C3" s="11" t="str">
        <x:v>Die 1%-Methode - Minimale Veränderung, maximale Wirkung</x:v>
      </x:c>
      <x:c r="D3" s="11" t="str">
        <x:v>Die 1%-Methode - Minimale Veränderung, maximale Wirkung</x:v>
      </x:c>
      <x:c r="E3" s="11" t="str">
        <x:v>James Clear</x:v>
      </x:c>
      <x:c r="F3" s="11" t="str">
        <x:v>Official #BookTok Top 20</x:v>
      </x:c>
      <x:c r="G3" s="11" t="str">
        <x:v>Media Control &amp; TikTok</x:v>
      </x:c>
      <x:c r="H3" s="11" t="n">
        <x:v>202304</x:v>
      </x:c>
      <x:c r="I3" s="11" t="str">
        <x:v>Complete</x:v>
      </x:c>
      <x:c r="J3" s="11" t="str">
        <x:v>Yes</x:v>
      </x:c>
    </x:row>
    <x:row r="4">
      <x:c r="A4" s="11" t="str">
        <x:v>2023-04</x:v>
      </x:c>
      <x:c r="B4" s="11" t="n">
        <x:v>3</x:v>
      </x:c>
      <x:c r="C4" s="11" t="str">
        <x:v>Nur noch ein einziges Mal</x:v>
      </x:c>
      <x:c r="D4" s="11" t="str">
        <x:v>Nur noch ein einziges Mal</x:v>
      </x:c>
      <x:c r="E4" s="11" t="str">
        <x:v>Colleen Hoover</x:v>
      </x:c>
      <x:c r="F4" s="11" t="str">
        <x:v>Official #BookTok Top 20</x:v>
      </x:c>
      <x:c r="G4" s="11" t="str">
        <x:v>Media Control &amp; TikTok</x:v>
      </x:c>
      <x:c r="H4" s="11" t="n">
        <x:v>202304</x:v>
      </x:c>
      <x:c r="I4" s="11" t="str">
        <x:v>Complete</x:v>
      </x:c>
      <x:c r="J4" s="11" t="str">
        <x:v>Yes</x:v>
      </x:c>
    </x:row>
    <x:row r="5">
      <x:c r="A5" s="11" t="str">
        <x:v>2023-04</x:v>
      </x:c>
      <x:c r="B5" s="11" t="n">
        <x:v>4</x:v>
      </x:c>
      <x:c r="C5" s="11" t="str">
        <x:v>101 Essays, die dein Leben verändern werden</x:v>
      </x:c>
      <x:c r="D5" s="11" t="str">
        <x:v>101 Essays, die dein Leben verändern werden</x:v>
      </x:c>
      <x:c r="E5" s="11" t="str">
        <x:v>Brianna Wiest</x:v>
      </x:c>
      <x:c r="F5" s="11" t="str">
        <x:v>Official #BookTok Top 20</x:v>
      </x:c>
      <x:c r="G5" s="11" t="str">
        <x:v>Media Control &amp; TikTok</x:v>
      </x:c>
      <x:c r="H5" s="11" t="n">
        <x:v>202304</x:v>
      </x:c>
      <x:c r="I5" s="11" t="str">
        <x:v>Complete</x:v>
      </x:c>
      <x:c r="J5" s="11" t="str">
        <x:v>Yes</x:v>
      </x:c>
    </x:row>
    <x:row r="6">
      <x:c r="A6" s="11" t="str">
        <x:v>2023-04</x:v>
      </x:c>
      <x:c r="B6" s="11" t="n">
        <x:v>5</x:v>
      </x:c>
      <x:c r="C6" s="11" t="str">
        <x:v>Black Bird Academy - Töte die Dunkelheit</x:v>
      </x:c>
      <x:c r="D6" s="11" t="str">
        <x:v>Black Bird Academy - Töte die Dunkelheit</x:v>
      </x:c>
      <x:c r="E6" s="11" t="str">
        <x:v>Stella Tack</x:v>
      </x:c>
      <x:c r="F6" s="11" t="str">
        <x:v>Official #BookTok Top 20</x:v>
      </x:c>
      <x:c r="G6" s="11" t="str">
        <x:v>Media Control &amp; TikTok</x:v>
      </x:c>
      <x:c r="H6" s="11" t="n">
        <x:v>202304</x:v>
      </x:c>
      <x:c r="I6" s="11" t="str">
        <x:v>Complete</x:v>
      </x:c>
      <x:c r="J6" s="11" t="str">
        <x:v>Yes</x:v>
      </x:c>
    </x:row>
    <x:row r="7">
      <x:c r="A7" s="11" t="str">
        <x:v>2023-04</x:v>
      </x:c>
      <x:c r="B7" s="11" t="n">
        <x:v>6</x:v>
      </x:c>
      <x:c r="C7" s="11" t="str">
        <x:v>SORRY. Ich habe es nur für dich getan</x:v>
      </x:c>
      <x:c r="D7" s="11" t="str">
        <x:v>SORRY. Ich habe es nur für dich getan</x:v>
      </x:c>
      <x:c r="E7" s="11" t="str">
        <x:v>Bianca Iosivoni</x:v>
      </x:c>
      <x:c r="F7" s="11" t="str">
        <x:v>Official #BookTok Top 20</x:v>
      </x:c>
      <x:c r="G7" s="11" t="str">
        <x:v>Media Control &amp; TikTok</x:v>
      </x:c>
      <x:c r="H7" s="11" t="n">
        <x:v>202304</x:v>
      </x:c>
      <x:c r="I7" s="11" t="str">
        <x:v>Complete</x:v>
      </x:c>
      <x:c r="J7" s="11" t="str">
        <x:v>Yes</x:v>
      </x:c>
    </x:row>
    <x:row r="8">
      <x:c r="A8" s="11" t="str">
        <x:v>2023-04</x:v>
      </x:c>
      <x:c r="B8" s="11" t="n">
        <x:v>7</x:v>
      </x:c>
      <x:c r="C8" s="11" t="str">
        <x:v>Westwell - Heavy &amp; Light</x:v>
      </x:c>
      <x:c r="D8" s="11" t="str">
        <x:v>Westwell - Heavy &amp; Light</x:v>
      </x:c>
      <x:c r="E8" s="11" t="str">
        <x:v>Lena Kiefer</x:v>
      </x:c>
      <x:c r="F8" s="11" t="str">
        <x:v>Official #BookTok Top 20</x:v>
      </x:c>
      <x:c r="G8" s="11" t="str">
        <x:v>Media Control &amp; TikTok</x:v>
      </x:c>
      <x:c r="H8" s="11" t="n">
        <x:v>202304</x:v>
      </x:c>
      <x:c r="I8" s="11" t="str">
        <x:v>Complete</x:v>
      </x:c>
      <x:c r="J8" s="11" t="str">
        <x:v>Yes</x:v>
      </x:c>
    </x:row>
    <x:row r="9">
      <x:c r="A9" s="11" t="str">
        <x:v>2023-04</x:v>
      </x:c>
      <x:c r="B9" s="11" t="n">
        <x:v>8</x:v>
      </x:c>
      <x:c r="C9" s="11" t="str">
        <x:v>Verity</x:v>
      </x:c>
      <x:c r="D9" s="11" t="str">
        <x:v>Verity</x:v>
      </x:c>
      <x:c r="E9" s="11" t="str">
        <x:v>Colleen Hoover</x:v>
      </x:c>
      <x:c r="F9" s="11" t="str">
        <x:v>Official #BookTok Top 20</x:v>
      </x:c>
      <x:c r="G9" s="11" t="str">
        <x:v>Media Control &amp; TikTok</x:v>
      </x:c>
      <x:c r="H9" s="11" t="n">
        <x:v>202304</x:v>
      </x:c>
      <x:c r="I9" s="11" t="str">
        <x:v>Complete</x:v>
      </x:c>
      <x:c r="J9" s="11" t="str">
        <x:v>Yes</x:v>
      </x:c>
    </x:row>
    <x:row r="10">
      <x:c r="A10" s="11" t="str">
        <x:v>2023-04</x:v>
      </x:c>
      <x:c r="B10" s="11" t="n">
        <x:v>9</x:v>
      </x:c>
      <x:c r="C10" s="11" t="str">
        <x:v>Vergiss uns. Nicht.</x:v>
      </x:c>
      <x:c r="D10" s="11" t="str">
        <x:v>Vergiss uns. Nicht.</x:v>
      </x:c>
      <x:c r="E10" s="11" t="str">
        <x:v>Laura Kneidl</x:v>
      </x:c>
      <x:c r="F10" s="11" t="str">
        <x:v>Official #BookTok Top 20</x:v>
      </x:c>
      <x:c r="G10" s="11" t="str">
        <x:v>Media Control &amp; TikTok</x:v>
      </x:c>
      <x:c r="H10" s="11" t="n">
        <x:v>202304</x:v>
      </x:c>
      <x:c r="I10" s="11" t="str">
        <x:v>Complete</x:v>
      </x:c>
      <x:c r="J10" s="11" t="str">
        <x:v>Yes</x:v>
      </x:c>
    </x:row>
    <x:row r="11">
      <x:c r="A11" s="11" t="str">
        <x:v>2023-04</x:v>
      </x:c>
      <x:c r="B11" s="11" t="n">
        <x:v>10</x:v>
      </x:c>
      <x:c r="C11" s="11" t="str">
        <x:v>WiccaCreed Zeichen &amp; Omen</x:v>
      </x:c>
      <x:c r="D11" s="11" t="str">
        <x:v>WiccaCreed Zeichen &amp; Omen</x:v>
      </x:c>
      <x:c r="E11" s="11" t="str">
        <x:v>Marah Woolf</x:v>
      </x:c>
      <x:c r="F11" s="11" t="str">
        <x:v>Official #BookTok Top 20</x:v>
      </x:c>
      <x:c r="G11" s="11" t="str">
        <x:v>Media Control &amp; TikTok</x:v>
      </x:c>
      <x:c r="H11" s="11" t="n">
        <x:v>202304</x:v>
      </x:c>
      <x:c r="I11" s="11" t="str">
        <x:v>Complete</x:v>
      </x:c>
      <x:c r="J11" s="11" t="str">
        <x:v>Yes</x:v>
      </x:c>
    </x:row>
    <x:row r="12">
      <x:c r="A12" s="11" t="str">
        <x:v>2023-04</x:v>
      </x:c>
      <x:c r="B12" s="11" t="n">
        <x:v>11</x:v>
      </x:c>
      <x:c r="C12" s="11" t="str">
        <x:v>Westwell - Hot &amp; Cold</x:v>
      </x:c>
      <x:c r="D12" s="11" t="str">
        <x:v>Westwell - Hot &amp; Cold</x:v>
      </x:c>
      <x:c r="E12" s="11" t="str">
        <x:v>Lena Kiefer</x:v>
      </x:c>
      <x:c r="F12" s="11" t="str">
        <x:v>Official #BookTok Top 20</x:v>
      </x:c>
      <x:c r="G12" s="11" t="str">
        <x:v>Media Control &amp; TikTok</x:v>
      </x:c>
      <x:c r="H12" s="11" t="n">
        <x:v>202304</x:v>
      </x:c>
      <x:c r="I12" s="11" t="str">
        <x:v>Complete</x:v>
      </x:c>
      <x:c r="J12" s="11" t="str">
        <x:v>Yes</x:v>
      </x:c>
    </x:row>
    <x:row r="13">
      <x:c r="A13" s="11" t="str">
        <x:v>2023-04</x:v>
      </x:c>
      <x:c r="B13" s="11" t="n">
        <x:v>12</x:v>
      </x:c>
      <x:c r="C13" s="11" t="str">
        <x:v>Things We Never Got Over (Knockemout 1)</x:v>
      </x:c>
      <x:c r="D13" s="11" t="str">
        <x:v>Things We Never Got Over (Knockemout 1)</x:v>
      </x:c>
      <x:c r="E13" s="11" t="str">
        <x:v>Lucy Score</x:v>
      </x:c>
      <x:c r="F13" s="11" t="str">
        <x:v>Official #BookTok Top 20</x:v>
      </x:c>
      <x:c r="G13" s="11" t="str">
        <x:v>Media Control &amp; TikTok</x:v>
      </x:c>
      <x:c r="H13" s="11" t="n">
        <x:v>202304</x:v>
      </x:c>
      <x:c r="I13" s="11" t="str">
        <x:v>Complete</x:v>
      </x:c>
      <x:c r="J13" s="11" t="str">
        <x:v>Yes</x:v>
      </x:c>
    </x:row>
    <x:row r="14">
      <x:c r="A14" s="11" t="str">
        <x:v>2023-04</x:v>
      </x:c>
      <x:c r="B14" s="11" t="n">
        <x:v>13</x:v>
      </x:c>
      <x:c r="C14" s="11" t="str">
        <x:v>It starts with us - Nur noch einmal und für immer</x:v>
      </x:c>
      <x:c r="D14" s="11" t="str">
        <x:v>It starts with us - Nur noch einmal und für immer</x:v>
      </x:c>
      <x:c r="E14" s="11" t="str">
        <x:v>Colleen Hoover</x:v>
      </x:c>
      <x:c r="F14" s="11" t="str">
        <x:v>Official #BookTok Top 20</x:v>
      </x:c>
      <x:c r="G14" s="11" t="str">
        <x:v>Media Control &amp; TikTok</x:v>
      </x:c>
      <x:c r="H14" s="11" t="n">
        <x:v>202304</x:v>
      </x:c>
      <x:c r="I14" s="11" t="str">
        <x:v>Complete</x:v>
      </x:c>
      <x:c r="J14" s="11" t="str">
        <x:v>Yes</x:v>
      </x:c>
    </x:row>
    <x:row r="15">
      <x:c r="A15" s="11" t="str">
        <x:v>2023-04</x:v>
      </x:c>
      <x:c r="B15" s="11" t="n">
        <x:v>14</x:v>
      </x:c>
      <x:c r="C15" s="11" t="str">
        <x:v>Girl in Pieces</x:v>
      </x:c>
      <x:c r="D15" s="11" t="str">
        <x:v>Girl in Pieces</x:v>
      </x:c>
      <x:c r="E15" s="11" t="str">
        <x:v>Kathleen Glasgow</x:v>
      </x:c>
      <x:c r="F15" s="11" t="str">
        <x:v>Official #BookTok Top 20</x:v>
      </x:c>
      <x:c r="G15" s="11" t="str">
        <x:v>Media Control &amp; TikTok</x:v>
      </x:c>
      <x:c r="H15" s="11" t="n">
        <x:v>202304</x:v>
      </x:c>
      <x:c r="I15" s="11" t="str">
        <x:v>Complete</x:v>
      </x:c>
      <x:c r="J15" s="11" t="str">
        <x:v>Yes</x:v>
      </x:c>
    </x:row>
    <x:row r="16">
      <x:c r="A16" s="11" t="str">
        <x:v>2023-04</x:v>
      </x:c>
      <x:c r="B16" s="11" t="n">
        <x:v>15</x:v>
      </x:c>
      <x:c r="C16" s="11" t="str">
        <x:v>Westwell - Bright &amp; Dark</x:v>
      </x:c>
      <x:c r="D16" s="11" t="str">
        <x:v>Westwell - Bright &amp; Dark</x:v>
      </x:c>
      <x:c r="E16" s="11" t="str">
        <x:v>Lena Kiefer</x:v>
      </x:c>
      <x:c r="F16" s="11" t="str">
        <x:v>Official #BookTok Top 20</x:v>
      </x:c>
      <x:c r="G16" s="11" t="str">
        <x:v>Media Control &amp; TikTok</x:v>
      </x:c>
      <x:c r="H16" s="11" t="n">
        <x:v>202304</x:v>
      </x:c>
      <x:c r="I16" s="11" t="str">
        <x:v>Complete</x:v>
      </x:c>
      <x:c r="J16" s="11" t="str">
        <x:v>Yes</x:v>
      </x:c>
    </x:row>
    <x:row r="17">
      <x:c r="A17" s="11" t="str">
        <x:v>2023-04</x:v>
      </x:c>
      <x:c r="B17" s="11" t="n">
        <x:v>16</x:v>
      </x:c>
      <x:c r="C17" s="11" t="str">
        <x:v>Jana, 39, ungeküsst</x:v>
      </x:c>
      <x:c r="D17" s="11" t="str">
        <x:v>Jana, 39, ungeküsst</x:v>
      </x:c>
      <x:c r="E17" s="11" t="str">
        <x:v>Jana Crämer</x:v>
      </x:c>
      <x:c r="F17" s="11" t="str">
        <x:v>Official #BookTok Top 20</x:v>
      </x:c>
      <x:c r="G17" s="11" t="str">
        <x:v>Media Control &amp; TikTok</x:v>
      </x:c>
      <x:c r="H17" s="11" t="n">
        <x:v>202304</x:v>
      </x:c>
      <x:c r="I17" s="11" t="str">
        <x:v>Complete</x:v>
      </x:c>
      <x:c r="J17" s="11" t="str">
        <x:v>Yes</x:v>
      </x:c>
    </x:row>
    <x:row r="18">
      <x:c r="A18" s="11" t="str">
        <x:v>2023-04</x:v>
      </x:c>
      <x:c r="B18" s="11" t="n">
        <x:v>17</x:v>
      </x:c>
      <x:c r="C18" s="11" t="str">
        <x:v>Dunbridge Academy - Anywhere</x:v>
      </x:c>
      <x:c r="D18" s="11" t="str">
        <x:v>Dunbridge Academy - Anywhere</x:v>
      </x:c>
      <x:c r="E18" s="11" t="str">
        <x:v>Sarah Sprinz</x:v>
      </x:c>
      <x:c r="F18" s="11" t="str">
        <x:v>Official #BookTok Top 20</x:v>
      </x:c>
      <x:c r="G18" s="11" t="str">
        <x:v>Media Control &amp; TikTok</x:v>
      </x:c>
      <x:c r="H18" s="11" t="n">
        <x:v>202304</x:v>
      </x:c>
      <x:c r="I18" s="11" t="str">
        <x:v>Complete</x:v>
      </x:c>
      <x:c r="J18" s="11" t="str">
        <x:v>Yes</x:v>
      </x:c>
    </x:row>
    <x:row r="19">
      <x:c r="A19" s="11" t="str">
        <x:v>2023-04</x:v>
      </x:c>
      <x:c r="B19" s="11" t="n">
        <x:v>18</x:v>
      </x:c>
      <x:c r="C19" s="11" t="str">
        <x:v>A Good Girl's Guide to Murder</x:v>
      </x:c>
      <x:c r="D19" s="11" t="str">
        <x:v>A Good Girl's Guide to Murder</x:v>
      </x:c>
      <x:c r="E19" s="11" t="str">
        <x:v>Holly Jackson</x:v>
      </x:c>
      <x:c r="F19" s="11" t="str">
        <x:v>Official #BookTok Top 20</x:v>
      </x:c>
      <x:c r="G19" s="11" t="str">
        <x:v>Media Control &amp; TikTok</x:v>
      </x:c>
      <x:c r="H19" s="11" t="n">
        <x:v>202304</x:v>
      </x:c>
      <x:c r="I19" s="11" t="str">
        <x:v>Complete</x:v>
      </x:c>
      <x:c r="J19" s="11" t="str">
        <x:v>Yes</x:v>
      </x:c>
    </x:row>
    <x:row r="20">
      <x:c r="A20" s="11" t="str">
        <x:v>2023-04</x:v>
      </x:c>
      <x:c r="B20" s="11" t="n">
        <x:v>19</x:v>
      </x:c>
      <x:c r="C20" s="11" t="str">
        <x:v>Zurück ins Leben geliebt</x:v>
      </x:c>
      <x:c r="D20" s="11" t="str">
        <x:v>Zurück ins Leben geliebt</x:v>
      </x:c>
      <x:c r="E20" s="11" t="str">
        <x:v>Colleen Hoover</x:v>
      </x:c>
      <x:c r="F20" s="11" t="str">
        <x:v>Official #BookTok Top 20</x:v>
      </x:c>
      <x:c r="G20" s="11" t="str">
        <x:v>Media Control &amp; TikTok</x:v>
      </x:c>
      <x:c r="H20" s="11" t="n">
        <x:v>202304</x:v>
      </x:c>
      <x:c r="I20" s="11" t="str">
        <x:v>Complete</x:v>
      </x:c>
      <x:c r="J20" s="11" t="str">
        <x:v>Yes</x:v>
      </x:c>
    </x:row>
    <x:row r="21">
      <x:c r="A21" s="11" t="str">
        <x:v>2023-04</x:v>
      </x:c>
      <x:c r="B21" s="11" t="n">
        <x:v>20</x:v>
      </x:c>
      <x:c r="C21" s="11" t="str">
        <x:v>A Place to Belong</x:v>
      </x:c>
      <x:c r="D21" s="11" t="str">
        <x:v>A Place to Belong</x:v>
      </x:c>
      <x:c r="E21" s="11" t="str">
        <x:v>Lilly Lucas</x:v>
      </x:c>
      <x:c r="F21" s="11" t="str">
        <x:v>Official #BookTok Top 20</x:v>
      </x:c>
      <x:c r="G21" s="11" t="str">
        <x:v>Media Control &amp; TikTok</x:v>
      </x:c>
      <x:c r="H21" s="11" t="n">
        <x:v>202304</x:v>
      </x:c>
      <x:c r="I21" s="11" t="str">
        <x:v>Complete</x:v>
      </x:c>
      <x:c r="J21" s="11" t="str">
        <x:v>Yes</x:v>
      </x:c>
    </x:row>
    <x:row r="22">
      <x:c r="A22" s="11" t="str">
        <x:v>2023-05</x:v>
      </x:c>
      <x:c r="B22" s="11" t="n">
        <x:v>1</x:v>
      </x:c>
      <x:c r="C22" s="11" t="str">
        <x:v>Die Mitternachtsbibliothek</x:v>
      </x:c>
      <x:c r="D22" s="11" t="str">
        <x:v>Die Mitternachtsbibliothek</x:v>
      </x:c>
      <x:c r="E22" s="11" t="str">
        <x:v>Matt Haig</x:v>
      </x:c>
      <x:c r="F22" s="11" t="str">
        <x:v>Official #BookTok Top 20</x:v>
      </x:c>
      <x:c r="G22" s="11" t="str">
        <x:v>Media Control &amp; TikTok</x:v>
      </x:c>
      <x:c r="H22" s="11" t="n">
        <x:v>202305</x:v>
      </x:c>
      <x:c r="I22" s="11" t="str">
        <x:v>Complete</x:v>
      </x:c>
      <x:c r="J22" s="11" t="str">
        <x:v>Yes</x:v>
      </x:c>
    </x:row>
    <x:row r="23">
      <x:c r="A23" s="11" t="str">
        <x:v>2023-05</x:v>
      </x:c>
      <x:c r="B23" s="11" t="n">
        <x:v>2</x:v>
      </x:c>
      <x:c r="C23" s="11" t="str">
        <x:v>Die 1%-Methode - Minimale Veränderung, maximale Wirkung</x:v>
      </x:c>
      <x:c r="D23" s="11" t="str">
        <x:v>Die 1%-Methode - Minimale Veränderung, maximale Wirkung</x:v>
      </x:c>
      <x:c r="E23" s="11" t="str">
        <x:v>James Clear</x:v>
      </x:c>
      <x:c r="F23" s="11" t="str">
        <x:v>Official #BookTok Top 20</x:v>
      </x:c>
      <x:c r="G23" s="11" t="str">
        <x:v>Media Control &amp; TikTok</x:v>
      </x:c>
      <x:c r="H23" s="11" t="n">
        <x:v>202305</x:v>
      </x:c>
      <x:c r="I23" s="11" t="str">
        <x:v>Complete</x:v>
      </x:c>
      <x:c r="J23" s="11" t="str">
        <x:v>Yes</x:v>
      </x:c>
    </x:row>
    <x:row r="24">
      <x:c r="A24" s="11" t="str">
        <x:v>2023-05</x:v>
      </x:c>
      <x:c r="B24" s="11" t="n">
        <x:v>3</x:v>
      </x:c>
      <x:c r="C24" s="11" t="str">
        <x:v>Das Kind in dir muss Heimat finden</x:v>
      </x:c>
      <x:c r="D24" s="11" t="str">
        <x:v>Das Kind in dir muss Heimat finden</x:v>
      </x:c>
      <x:c r="E24" s="11" t="str">
        <x:v>Stefanie Stahl</x:v>
      </x:c>
      <x:c r="F24" s="11" t="str">
        <x:v>Official #BookTok Top 20</x:v>
      </x:c>
      <x:c r="G24" s="11" t="str">
        <x:v>Media Control &amp; TikTok</x:v>
      </x:c>
      <x:c r="H24" s="11" t="n">
        <x:v>202305</x:v>
      </x:c>
      <x:c r="I24" s="11" t="str">
        <x:v>Complete</x:v>
      </x:c>
      <x:c r="J24" s="11" t="str">
        <x:v>Yes</x:v>
      </x:c>
    </x:row>
    <x:row r="25">
      <x:c r="A25" s="11" t="str">
        <x:v>2023-05</x:v>
      </x:c>
      <x:c r="B25" s="11" t="n">
        <x:v>4</x:v>
      </x:c>
      <x:c r="C25" s="11" t="str">
        <x:v>Nur noch ein einziges Mal</x:v>
      </x:c>
      <x:c r="D25" s="11" t="str">
        <x:v>Nur noch ein einziges Mal</x:v>
      </x:c>
      <x:c r="E25" s="11" t="str">
        <x:v>Colleen Hoover</x:v>
      </x:c>
      <x:c r="F25" s="11" t="str">
        <x:v>Official #BookTok Top 20</x:v>
      </x:c>
      <x:c r="G25" s="11" t="str">
        <x:v>Media Control &amp; TikTok</x:v>
      </x:c>
      <x:c r="H25" s="11" t="n">
        <x:v>202305</x:v>
      </x:c>
      <x:c r="I25" s="11" t="str">
        <x:v>Complete</x:v>
      </x:c>
      <x:c r="J25" s="11" t="str">
        <x:v>Yes</x:v>
      </x:c>
    </x:row>
    <x:row r="26">
      <x:c r="A26" s="11" t="str">
        <x:v>2023-05</x:v>
      </x:c>
      <x:c r="B26" s="11" t="n">
        <x:v>5</x:v>
      </x:c>
      <x:c r="C26" s="11" t="str">
        <x:v>101 Essays, die dein Leben verändern werden</x:v>
      </x:c>
      <x:c r="D26" s="11" t="str">
        <x:v>101 Essays, die dein Leben verändern werden</x:v>
      </x:c>
      <x:c r="E26" s="11" t="str">
        <x:v>Brianna Wiest</x:v>
      </x:c>
      <x:c r="F26" s="11" t="str">
        <x:v>Official #BookTok Top 20</x:v>
      </x:c>
      <x:c r="G26" s="11" t="str">
        <x:v>Media Control &amp; TikTok</x:v>
      </x:c>
      <x:c r="H26" s="11" t="n">
        <x:v>202305</x:v>
      </x:c>
      <x:c r="I26" s="11" t="str">
        <x:v>Complete</x:v>
      </x:c>
      <x:c r="J26" s="11" t="str">
        <x:v>Yes</x:v>
      </x:c>
    </x:row>
    <x:row r="27">
      <x:c r="A27" s="11" t="str">
        <x:v>2023-05</x:v>
      </x:c>
      <x:c r="B27" s="11" t="n">
        <x:v>6</x:v>
      </x:c>
      <x:c r="C27" s="11" t="str">
        <x:v>Very Bad Kings</x:v>
      </x:c>
      <x:c r="D27" s="11" t="str">
        <x:v>Very Bad Kings</x:v>
      </x:c>
      <x:c r="E27" s="11" t="str">
        <x:v>J. S. Wonda</x:v>
      </x:c>
      <x:c r="F27" s="11" t="str">
        <x:v>Official #BookTok Top 20</x:v>
      </x:c>
      <x:c r="G27" s="11" t="str">
        <x:v>Media Control &amp; TikTok</x:v>
      </x:c>
      <x:c r="H27" s="11" t="n">
        <x:v>202305</x:v>
      </x:c>
      <x:c r="I27" s="11" t="str">
        <x:v>Complete</x:v>
      </x:c>
      <x:c r="J27" s="11" t="str">
        <x:v>Yes</x:v>
      </x:c>
    </x:row>
    <x:row r="28">
      <x:c r="A28" s="11" t="str">
        <x:v>2023-05</x:v>
      </x:c>
      <x:c r="B28" s="11" t="n">
        <x:v>7</x:v>
      </x:c>
      <x:c r="C28" s="11" t="str">
        <x:v>Twisted Games</x:v>
      </x:c>
      <x:c r="D28" s="11" t="str">
        <x:v>Twisted Games</x:v>
      </x:c>
      <x:c r="E28" s="11" t="str">
        <x:v>Ana Huang</x:v>
      </x:c>
      <x:c r="F28" s="11" t="str">
        <x:v>Official #BookTok Top 20</x:v>
      </x:c>
      <x:c r="G28" s="11" t="str">
        <x:v>Media Control &amp; TikTok</x:v>
      </x:c>
      <x:c r="H28" s="11" t="n">
        <x:v>202305</x:v>
      </x:c>
      <x:c r="I28" s="11" t="str">
        <x:v>Complete</x:v>
      </x:c>
      <x:c r="J28" s="11" t="str">
        <x:v>Yes</x:v>
      </x:c>
    </x:row>
    <x:row r="29">
      <x:c r="A29" s="11" t="str">
        <x:v>2023-05</x:v>
      </x:c>
      <x:c r="B29" s="11" t="n">
        <x:v>8</x:v>
      </x:c>
      <x:c r="C29" s="11" t="str">
        <x:v>Shatter Me</x:v>
      </x:c>
      <x:c r="D29" s="11" t="str">
        <x:v>Shatter Me</x:v>
      </x:c>
      <x:c r="E29" s="11" t="str">
        <x:v>Tahereh Mafi</x:v>
      </x:c>
      <x:c r="F29" s="11" t="str">
        <x:v>Official #BookTok Top 20</x:v>
      </x:c>
      <x:c r="G29" s="11" t="str">
        <x:v>Media Control &amp; TikTok</x:v>
      </x:c>
      <x:c r="H29" s="11" t="n">
        <x:v>202305</x:v>
      </x:c>
      <x:c r="I29" s="11" t="str">
        <x:v>Complete</x:v>
      </x:c>
      <x:c r="J29" s="11" t="str">
        <x:v>Yes</x:v>
      </x:c>
    </x:row>
    <x:row r="30">
      <x:c r="A30" s="11" t="str">
        <x:v>2023-05</x:v>
      </x:c>
      <x:c r="B30" s="11" t="n">
        <x:v>9</x:v>
      </x:c>
      <x:c r="C30" s="11" t="str">
        <x:v>Verity</x:v>
      </x:c>
      <x:c r="D30" s="11" t="str">
        <x:v>Verity</x:v>
      </x:c>
      <x:c r="E30" s="11" t="str">
        <x:v>Colleen Hoover</x:v>
      </x:c>
      <x:c r="F30" s="11" t="str">
        <x:v>Official #BookTok Top 20</x:v>
      </x:c>
      <x:c r="G30" s="11" t="str">
        <x:v>Media Control &amp; TikTok</x:v>
      </x:c>
      <x:c r="H30" s="11" t="n">
        <x:v>202305</x:v>
      </x:c>
      <x:c r="I30" s="11" t="str">
        <x:v>Complete</x:v>
      </x:c>
      <x:c r="J30" s="11" t="str">
        <x:v>Yes</x:v>
      </x:c>
    </x:row>
    <x:row r="31">
      <x:c r="A31" s="11" t="str">
        <x:v>2023-05</x:v>
      </x:c>
      <x:c r="B31" s="11" t="n">
        <x:v>10</x:v>
      </x:c>
      <x:c r="C31" s="11" t="str">
        <x:v>It starts with us - Nur noch einmal und für immer</x:v>
      </x:c>
      <x:c r="D31" s="11" t="str">
        <x:v>It starts with us - Nur noch einmal und für immer</x:v>
      </x:c>
      <x:c r="E31" s="11" t="str">
        <x:v>Colleen Hoover</x:v>
      </x:c>
      <x:c r="F31" s="11" t="str">
        <x:v>Official #BookTok Top 20</x:v>
      </x:c>
      <x:c r="G31" s="11" t="str">
        <x:v>Media Control &amp; TikTok</x:v>
      </x:c>
      <x:c r="H31" s="11" t="n">
        <x:v>202305</x:v>
      </x:c>
      <x:c r="I31" s="11" t="str">
        <x:v>Complete</x:v>
      </x:c>
      <x:c r="J31" s="11" t="str">
        <x:v>Yes</x:v>
      </x:c>
    </x:row>
    <x:row r="32">
      <x:c r="A32" s="11" t="str">
        <x:v>2023-05</x:v>
      </x:c>
      <x:c r="B32" s="11" t="n">
        <x:v>11</x:v>
      </x:c>
      <x:c r="C32" s="11" t="str">
        <x:v>Westwell - Heavy &amp; Light</x:v>
      </x:c>
      <x:c r="D32" s="11" t="str">
        <x:v>Westwell - Heavy &amp; Light</x:v>
      </x:c>
      <x:c r="E32" s="11" t="str">
        <x:v>Lena Kiefer</x:v>
      </x:c>
      <x:c r="F32" s="11" t="str">
        <x:v>Official #BookTok Top 20</x:v>
      </x:c>
      <x:c r="G32" s="11" t="str">
        <x:v>Media Control &amp; TikTok</x:v>
      </x:c>
      <x:c r="H32" s="11" t="n">
        <x:v>202305</x:v>
      </x:c>
      <x:c r="I32" s="11" t="str">
        <x:v>Complete</x:v>
      </x:c>
      <x:c r="J32" s="11" t="str">
        <x:v>Yes</x:v>
      </x:c>
    </x:row>
    <x:row r="33">
      <x:c r="A33" s="11" t="str">
        <x:v>2023-05</x:v>
      </x:c>
      <x:c r="B33" s="11" t="n">
        <x:v>12</x:v>
      </x:c>
      <x:c r="C33" s="11" t="str">
        <x:v>Black Bird Academy - Töte die Dunkelheit</x:v>
      </x:c>
      <x:c r="D33" s="11" t="str">
        <x:v>Black Bird Academy - Töte die Dunkelheit</x:v>
      </x:c>
      <x:c r="E33" s="11" t="str">
        <x:v>Stella Tack</x:v>
      </x:c>
      <x:c r="F33" s="11" t="str">
        <x:v>Official #BookTok Top 20</x:v>
      </x:c>
      <x:c r="G33" s="11" t="str">
        <x:v>Media Control &amp; TikTok</x:v>
      </x:c>
      <x:c r="H33" s="11" t="n">
        <x:v>202305</x:v>
      </x:c>
      <x:c r="I33" s="11" t="str">
        <x:v>Complete</x:v>
      </x:c>
      <x:c r="J33" s="11" t="str">
        <x:v>Yes</x:v>
      </x:c>
    </x:row>
    <x:row r="34">
      <x:c r="A34" s="11" t="str">
        <x:v>2023-05</x:v>
      </x:c>
      <x:c r="B34" s="11" t="n">
        <x:v>13</x:v>
      </x:c>
      <x:c r="C34" s="11" t="str">
        <x:v>Fünf Sommer mit dir</x:v>
      </x:c>
      <x:c r="D34" s="11" t="str">
        <x:v>Fünf Sommer mit dir</x:v>
      </x:c>
      <x:c r="E34" s="11" t="str">
        <x:v>Carley Fortune</x:v>
      </x:c>
      <x:c r="F34" s="11" t="str">
        <x:v>Official #BookTok Top 20</x:v>
      </x:c>
      <x:c r="G34" s="11" t="str">
        <x:v>Media Control &amp; TikTok</x:v>
      </x:c>
      <x:c r="H34" s="11" t="n">
        <x:v>202305</x:v>
      </x:c>
      <x:c r="I34" s="11" t="str">
        <x:v>Complete</x:v>
      </x:c>
      <x:c r="J34" s="11" t="str">
        <x:v>Yes</x:v>
      </x:c>
    </x:row>
    <x:row r="35">
      <x:c r="A35" s="11" t="str">
        <x:v>2023-05</x:v>
      </x:c>
      <x:c r="B35" s="11" t="n">
        <x:v>14</x:v>
      </x:c>
      <x:c r="C35" s="11" t="str">
        <x:v>Westwell - Hot &amp; Cold</x:v>
      </x:c>
      <x:c r="D35" s="11" t="str">
        <x:v>Westwell - Hot &amp; Cold</x:v>
      </x:c>
      <x:c r="E35" s="11" t="str">
        <x:v>Lena Kiefer</x:v>
      </x:c>
      <x:c r="F35" s="11" t="str">
        <x:v>Official #BookTok Top 20</x:v>
      </x:c>
      <x:c r="G35" s="11" t="str">
        <x:v>Media Control &amp; TikTok</x:v>
      </x:c>
      <x:c r="H35" s="11" t="n">
        <x:v>202305</x:v>
      </x:c>
      <x:c r="I35" s="11" t="str">
        <x:v>Complete</x:v>
      </x:c>
      <x:c r="J35" s="11" t="str">
        <x:v>Yes</x:v>
      </x:c>
    </x:row>
    <x:row r="36">
      <x:c r="A36" s="11" t="str">
        <x:v>2023-05</x:v>
      </x:c>
      <x:c r="B36" s="11" t="n">
        <x:v>15</x:v>
      </x:c>
      <x:c r="C36" s="11" t="str">
        <x:v>Girl in Pieces</x:v>
      </x:c>
      <x:c r="D36" s="11" t="str">
        <x:v>Girl in Pieces</x:v>
      </x:c>
      <x:c r="E36" s="11" t="str">
        <x:v>Kathleen Glasgow</x:v>
      </x:c>
      <x:c r="F36" s="11" t="str">
        <x:v>Official #BookTok Top 20</x:v>
      </x:c>
      <x:c r="G36" s="11" t="str">
        <x:v>Media Control &amp; TikTok</x:v>
      </x:c>
      <x:c r="H36" s="11" t="n">
        <x:v>202305</x:v>
      </x:c>
      <x:c r="I36" s="11" t="str">
        <x:v>Complete</x:v>
      </x:c>
      <x:c r="J36" s="11" t="str">
        <x:v>Yes</x:v>
      </x:c>
    </x:row>
    <x:row r="37">
      <x:c r="A37" s="11" t="str">
        <x:v>2023-05</x:v>
      </x:c>
      <x:c r="B37" s="11" t="n">
        <x:v>16</x:v>
      </x:c>
      <x:c r="C37" s="11" t="str">
        <x:v>Westwell - Bright &amp; Dark</x:v>
      </x:c>
      <x:c r="D37" s="11" t="str">
        <x:v>Westwell - Bright &amp; Dark</x:v>
      </x:c>
      <x:c r="E37" s="11" t="str">
        <x:v>Lena Kiefer</x:v>
      </x:c>
      <x:c r="F37" s="11" t="str">
        <x:v>Official #BookTok Top 20</x:v>
      </x:c>
      <x:c r="G37" s="11" t="str">
        <x:v>Media Control &amp; TikTok</x:v>
      </x:c>
      <x:c r="H37" s="11" t="n">
        <x:v>202305</x:v>
      </x:c>
      <x:c r="I37" s="11" t="str">
        <x:v>Complete</x:v>
      </x:c>
      <x:c r="J37" s="11" t="str">
        <x:v>Yes</x:v>
      </x:c>
    </x:row>
    <x:row r="38">
      <x:c r="A38" s="11" t="str">
        <x:v>2023-05</x:v>
      </x:c>
      <x:c r="B38" s="11" t="n">
        <x:v>17</x:v>
      </x:c>
      <x:c r="C38" s="11" t="str">
        <x:v>Things We Never Got Over (Knockemout 1)</x:v>
      </x:c>
      <x:c r="D38" s="11" t="str">
        <x:v>Things We Never Got Over (Knockemout 1)</x:v>
      </x:c>
      <x:c r="E38" s="11" t="str">
        <x:v>Lucy Score</x:v>
      </x:c>
      <x:c r="F38" s="11" t="str">
        <x:v>Official #BookTok Top 20</x:v>
      </x:c>
      <x:c r="G38" s="11" t="str">
        <x:v>Media Control &amp; TikTok</x:v>
      </x:c>
      <x:c r="H38" s="11" t="n">
        <x:v>202305</x:v>
      </x:c>
      <x:c r="I38" s="11" t="str">
        <x:v>Complete</x:v>
      </x:c>
      <x:c r="J38" s="11" t="str">
        <x:v>Yes</x:v>
      </x:c>
    </x:row>
    <x:row r="39">
      <x:c r="A39" s="11" t="str">
        <x:v>2023-05</x:v>
      </x:c>
      <x:c r="B39" s="11" t="n">
        <x:v>18</x:v>
      </x:c>
      <x:c r="C39" s="11" t="str">
        <x:v>The Ravenhood - Exodus</x:v>
      </x:c>
      <x:c r="D39" s="11" t="str">
        <x:v>The Ravenhood - Exodus</x:v>
      </x:c>
      <x:c r="E39" s="11" t="str">
        <x:v>Kate Stewart</x:v>
      </x:c>
      <x:c r="F39" s="11" t="str">
        <x:v>Official #BookTok Top 20</x:v>
      </x:c>
      <x:c r="G39" s="11" t="str">
        <x:v>Media Control &amp; TikTok</x:v>
      </x:c>
      <x:c r="H39" s="11" t="n">
        <x:v>202305</x:v>
      </x:c>
      <x:c r="I39" s="11" t="str">
        <x:v>Complete</x:v>
      </x:c>
      <x:c r="J39" s="11" t="str">
        <x:v>Yes</x:v>
      </x:c>
    </x:row>
    <x:row r="40">
      <x:c r="A40" s="11" t="str">
        <x:v>2023-05</x:v>
      </x:c>
      <x:c r="B40" s="11" t="n">
        <x:v>19</x:v>
      </x:c>
      <x:c r="C40" s="11" t="str">
        <x:v>Very Bad Elite</x:v>
      </x:c>
      <x:c r="D40" s="11" t="str">
        <x:v>Very Bad Elite</x:v>
      </x:c>
      <x:c r="E40" s="11" t="str">
        <x:v>J. S. Wonda</x:v>
      </x:c>
      <x:c r="F40" s="11" t="str">
        <x:v>Official #BookTok Top 20</x:v>
      </x:c>
      <x:c r="G40" s="11" t="str">
        <x:v>Media Control &amp; TikTok</x:v>
      </x:c>
      <x:c r="H40" s="11" t="n">
        <x:v>202305</x:v>
      </x:c>
      <x:c r="I40" s="11" t="str">
        <x:v>Complete</x:v>
      </x:c>
      <x:c r="J40" s="11" t="str">
        <x:v>Yes</x:v>
      </x:c>
    </x:row>
    <x:row r="41">
      <x:c r="A41" s="11" t="str">
        <x:v>2023-05</x:v>
      </x:c>
      <x:c r="B41" s="11" t="n">
        <x:v>20</x:v>
      </x:c>
      <x:c r="C41" s="11" t="str">
        <x:v>SORRY. Ich habe es nur für dich getan</x:v>
      </x:c>
      <x:c r="D41" s="11" t="str">
        <x:v>SORRY. Ich habe es nur für dich getan</x:v>
      </x:c>
      <x:c r="E41" s="11" t="str">
        <x:v>Bianca Iosivoni</x:v>
      </x:c>
      <x:c r="F41" s="11" t="str">
        <x:v>Official #BookTok Top 20</x:v>
      </x:c>
      <x:c r="G41" s="11" t="str">
        <x:v>Media Control &amp; TikTok</x:v>
      </x:c>
      <x:c r="H41" s="11" t="n">
        <x:v>202305</x:v>
      </x:c>
      <x:c r="I41" s="11" t="str">
        <x:v>Complete</x:v>
      </x:c>
      <x:c r="J41" s="11" t="str">
        <x:v>Yes</x:v>
      </x:c>
    </x:row>
    <x:row r="42">
      <x:c r="A42" s="11" t="str">
        <x:v>2023-06</x:v>
      </x:c>
      <x:c r="B42" s="11" t="n">
        <x:v>1</x:v>
      </x:c>
      <x:c r="C42" s="11" t="str">
        <x:v>Vergissmeinnicht - Was bisher verloren war</x:v>
      </x:c>
      <x:c r="D42" s="11" t="str">
        <x:v>Vergissmeinnicht - Was bisher verloren war</x:v>
      </x:c>
      <x:c r="E42" s="11" t="str">
        <x:v>Kerstin Gier</x:v>
      </x:c>
      <x:c r="F42" s="11" t="str">
        <x:v>Official #BookTok Top 20</x:v>
      </x:c>
      <x:c r="G42" s="11" t="str">
        <x:v>Media Control &amp; TikTok</x:v>
      </x:c>
      <x:c r="H42" s="11" t="n">
        <x:v>202306</x:v>
      </x:c>
      <x:c r="I42" s="11" t="str">
        <x:v>Complete</x:v>
      </x:c>
      <x:c r="J42" s="11" t="str">
        <x:v>Yes</x:v>
      </x:c>
    </x:row>
    <x:row r="43">
      <x:c r="A43" s="11" t="str">
        <x:v>2023-06</x:v>
      </x:c>
      <x:c r="B43" s="11" t="n">
        <x:v>2</x:v>
      </x:c>
      <x:c r="C43" s="11" t="str">
        <x:v>Fourth Wing - Flammengeküsst</x:v>
      </x:c>
      <x:c r="D43" s="11" t="str">
        <x:v>Fourth Wing - Flammengeküsst</x:v>
      </x:c>
      <x:c r="E43" s="11" t="str">
        <x:v>Rebecca Yarros</x:v>
      </x:c>
      <x:c r="F43" s="11" t="str">
        <x:v>Official #BookTok Top 20</x:v>
      </x:c>
      <x:c r="G43" s="11" t="str">
        <x:v>Media Control &amp; TikTok</x:v>
      </x:c>
      <x:c r="H43" s="11" t="n">
        <x:v>202306</x:v>
      </x:c>
      <x:c r="I43" s="11" t="str">
        <x:v>Complete</x:v>
      </x:c>
      <x:c r="J43" s="11" t="str">
        <x:v>Yes</x:v>
      </x:c>
    </x:row>
    <x:row r="44">
      <x:c r="A44" s="11" t="str">
        <x:v>2023-06</x:v>
      </x:c>
      <x:c r="B44" s="11" t="n">
        <x:v>3</x:v>
      </x:c>
      <x:c r="C44" s="11" t="str">
        <x:v>Die Mitternachtsbibliothek</x:v>
      </x:c>
      <x:c r="D44" s="11" t="str">
        <x:v>Die Mitternachtsbibliothek</x:v>
      </x:c>
      <x:c r="E44" s="11" t="str">
        <x:v>Matt Haig</x:v>
      </x:c>
      <x:c r="F44" s="11" t="str">
        <x:v>Official #BookTok Top 20</x:v>
      </x:c>
      <x:c r="G44" s="11" t="str">
        <x:v>Media Control &amp; TikTok</x:v>
      </x:c>
      <x:c r="H44" s="11" t="n">
        <x:v>202306</x:v>
      </x:c>
      <x:c r="I44" s="11" t="str">
        <x:v>Complete</x:v>
      </x:c>
      <x:c r="J44" s="11" t="str">
        <x:v>Yes</x:v>
      </x:c>
    </x:row>
    <x:row r="45">
      <x:c r="A45" s="11" t="str">
        <x:v>2023-06</x:v>
      </x:c>
      <x:c r="B45" s="11" t="n">
        <x:v>4</x:v>
      </x:c>
      <x:c r="C45" s="11" t="str">
        <x:v>Das Kind in dir muss Heimat finden</x:v>
      </x:c>
      <x:c r="D45" s="11" t="str">
        <x:v>Das Kind in dir muss Heimat finden</x:v>
      </x:c>
      <x:c r="E45" s="11" t="str">
        <x:v>Stefanie Stahl</x:v>
      </x:c>
      <x:c r="F45" s="11" t="str">
        <x:v>Official #BookTok Top 20</x:v>
      </x:c>
      <x:c r="G45" s="11" t="str">
        <x:v>Media Control &amp; TikTok</x:v>
      </x:c>
      <x:c r="H45" s="11" t="n">
        <x:v>202306</x:v>
      </x:c>
      <x:c r="I45" s="11" t="str">
        <x:v>Complete</x:v>
      </x:c>
      <x:c r="J45" s="11" t="str">
        <x:v>Yes</x:v>
      </x:c>
    </x:row>
    <x:row r="46">
      <x:c r="A46" s="11" t="str">
        <x:v>2023-06</x:v>
      </x:c>
      <x:c r="B46" s="11" t="n">
        <x:v>5</x:v>
      </x:c>
      <x:c r="C46" s="11" t="str">
        <x:v>Die 1%-Methode - Minimale Veränderung, maximale Wirkung</x:v>
      </x:c>
      <x:c r="D46" s="11" t="str">
        <x:v>Die 1%-Methode - Minimale Veränderung, maximale Wirkung</x:v>
      </x:c>
      <x:c r="E46" s="11" t="str">
        <x:v>James Clear</x:v>
      </x:c>
      <x:c r="F46" s="11" t="str">
        <x:v>Official #BookTok Top 20</x:v>
      </x:c>
      <x:c r="G46" s="11" t="str">
        <x:v>Media Control &amp; TikTok</x:v>
      </x:c>
      <x:c r="H46" s="11" t="n">
        <x:v>202306</x:v>
      </x:c>
      <x:c r="I46" s="11" t="str">
        <x:v>Complete</x:v>
      </x:c>
      <x:c r="J46" s="11" t="str">
        <x:v>Yes</x:v>
      </x:c>
    </x:row>
    <x:row r="47">
      <x:c r="A47" s="11" t="str">
        <x:v>2023-06</x:v>
      </x:c>
      <x:c r="B47" s="11" t="n">
        <x:v>6</x:v>
      </x:c>
      <x:c r="C47" s="11" t="str">
        <x:v>The Unhoneymooners</x:v>
      </x:c>
      <x:c r="D47" s="11" t="str">
        <x:v>The Unhoneymooners - Sie können sich nicht ausstehen ...</x:v>
      </x:c>
      <x:c r="E47" s="11" t="str">
        <x:v>Christina Lauren</x:v>
      </x:c>
      <x:c r="F47" s="11" t="str">
        <x:v>Official #BookTok Top 20</x:v>
      </x:c>
      <x:c r="G47" s="11" t="str">
        <x:v>Media Control &amp; TikTok</x:v>
      </x:c>
      <x:c r="H47" s="11" t="n">
        <x:v>202306</x:v>
      </x:c>
      <x:c r="I47" s="11" t="str">
        <x:v>Complete</x:v>
      </x:c>
      <x:c r="J47" s="11" t="str">
        <x:v>Yes</x:v>
      </x:c>
    </x:row>
    <x:row r="48">
      <x:c r="A48" s="11" t="str">
        <x:v>2023-06</x:v>
      </x:c>
      <x:c r="B48" s="11" t="n">
        <x:v>7</x:v>
      </x:c>
      <x:c r="C48" s="11" t="str">
        <x:v>22 Bahnen</x:v>
      </x:c>
      <x:c r="D48" s="11" t="str">
        <x:v>22 Bahnen</x:v>
      </x:c>
      <x:c r="E48" s="11" t="str">
        <x:v>Caroline Wahl</x:v>
      </x:c>
      <x:c r="F48" s="11" t="str">
        <x:v>Official #BookTok Top 20</x:v>
      </x:c>
      <x:c r="G48" s="11" t="str">
        <x:v>Media Control &amp; TikTok</x:v>
      </x:c>
      <x:c r="H48" s="11" t="n">
        <x:v>202306</x:v>
      </x:c>
      <x:c r="I48" s="11" t="str">
        <x:v>Complete</x:v>
      </x:c>
      <x:c r="J48" s="11" t="str">
        <x:v>Yes</x:v>
      </x:c>
    </x:row>
    <x:row r="49">
      <x:c r="A49" s="11" t="str">
        <x:v>2023-06</x:v>
      </x:c>
      <x:c r="B49" s="11" t="n">
        <x:v>8</x:v>
      </x:c>
      <x:c r="C49" s="11" t="str">
        <x:v>Shatter Me</x:v>
      </x:c>
      <x:c r="D49" s="11" t="str">
        <x:v>Shatter Me</x:v>
      </x:c>
      <x:c r="E49" s="11" t="str">
        <x:v>Tahereh Mafi</x:v>
      </x:c>
      <x:c r="F49" s="11" t="str">
        <x:v>Official #BookTok Top 20</x:v>
      </x:c>
      <x:c r="G49" s="11" t="str">
        <x:v>Media Control &amp; TikTok</x:v>
      </x:c>
      <x:c r="H49" s="11" t="n">
        <x:v>202306</x:v>
      </x:c>
      <x:c r="I49" s="11" t="str">
        <x:v>Complete</x:v>
      </x:c>
      <x:c r="J49" s="11" t="str">
        <x:v>Yes</x:v>
      </x:c>
    </x:row>
    <x:row r="50">
      <x:c r="A50" s="11" t="str">
        <x:v>2023-06</x:v>
      </x:c>
      <x:c r="B50" s="11" t="n">
        <x:v>9</x:v>
      </x:c>
      <x:c r="C50" s="11" t="str">
        <x:v>101 Essays, die dein Leben verändern werden</x:v>
      </x:c>
      <x:c r="D50" s="11" t="str">
        <x:v>101 Essays, die dein Leben verändern werden</x:v>
      </x:c>
      <x:c r="E50" s="11" t="str">
        <x:v>Brianna Wiest</x:v>
      </x:c>
      <x:c r="F50" s="11" t="str">
        <x:v>Official #BookTok Top 20</x:v>
      </x:c>
      <x:c r="G50" s="11" t="str">
        <x:v>Media Control &amp; TikTok</x:v>
      </x:c>
      <x:c r="H50" s="11" t="n">
        <x:v>202306</x:v>
      </x:c>
      <x:c r="I50" s="11" t="str">
        <x:v>Complete</x:v>
      </x:c>
      <x:c r="J50" s="11" t="str">
        <x:v>Yes</x:v>
      </x:c>
    </x:row>
    <x:row r="51">
      <x:c r="A51" s="11" t="str">
        <x:v>2023-06</x:v>
      </x:c>
      <x:c r="B51" s="11" t="n">
        <x:v>10</x:v>
      </x:c>
      <x:c r="C51" s="11" t="str">
        <x:v>Nur noch ein einziges Mal</x:v>
      </x:c>
      <x:c r="D51" s="11" t="str">
        <x:v>Nur noch ein einziges Mal</x:v>
      </x:c>
      <x:c r="E51" s="11" t="str">
        <x:v>Colleen Hoover</x:v>
      </x:c>
      <x:c r="F51" s="11" t="str">
        <x:v>Official #BookTok Top 20</x:v>
      </x:c>
      <x:c r="G51" s="11" t="str">
        <x:v>Media Control &amp; TikTok</x:v>
      </x:c>
      <x:c r="H51" s="11" t="n">
        <x:v>202306</x:v>
      </x:c>
      <x:c r="I51" s="11" t="str">
        <x:v>Complete</x:v>
      </x:c>
      <x:c r="J51" s="11" t="str">
        <x:v>Yes</x:v>
      </x:c>
    </x:row>
    <x:row r="52">
      <x:c r="A52" s="11" t="str">
        <x:v>2023-06</x:v>
      </x:c>
      <x:c r="B52" s="11" t="n">
        <x:v>11</x:v>
      </x:c>
      <x:c r="C52" s="11" t="str">
        <x:v>Verity</x:v>
      </x:c>
      <x:c r="D52" s="11" t="str">
        <x:v>Verity</x:v>
      </x:c>
      <x:c r="E52" s="11" t="str">
        <x:v>Colleen Hoover</x:v>
      </x:c>
      <x:c r="F52" s="11" t="str">
        <x:v>Official #BookTok Top 20</x:v>
      </x:c>
      <x:c r="G52" s="11" t="str">
        <x:v>Media Control &amp; TikTok</x:v>
      </x:c>
      <x:c r="H52" s="11" t="n">
        <x:v>202306</x:v>
      </x:c>
      <x:c r="I52" s="11" t="str">
        <x:v>Complete</x:v>
      </x:c>
      <x:c r="J52" s="11" t="str">
        <x:v>Yes</x:v>
      </x:c>
    </x:row>
    <x:row r="53">
      <x:c r="A53" s="11" t="str">
        <x:v>2023-06</x:v>
      </x:c>
      <x:c r="B53" s="11" t="n">
        <x:v>12</x:v>
      </x:c>
      <x:c r="C53" s="11" t="str">
        <x:v>Dreamland Billionaires - The Fine Print</x:v>
      </x:c>
      <x:c r="D53" s="11" t="str">
        <x:v>Dreamland Billionaires - The Fine Print</x:v>
      </x:c>
      <x:c r="E53" s="11" t="str">
        <x:v>Lauren Asher</x:v>
      </x:c>
      <x:c r="F53" s="11" t="str">
        <x:v>Official #BookTok Top 20</x:v>
      </x:c>
      <x:c r="G53" s="11" t="str">
        <x:v>Media Control &amp; TikTok</x:v>
      </x:c>
      <x:c r="H53" s="11" t="n">
        <x:v>202306</x:v>
      </x:c>
      <x:c r="I53" s="11" t="str">
        <x:v>Complete</x:v>
      </x:c>
      <x:c r="J53" s="11" t="str">
        <x:v>Yes</x:v>
      </x:c>
    </x:row>
    <x:row r="54">
      <x:c r="A54" s="11" t="str">
        <x:v>2023-06</x:v>
      </x:c>
      <x:c r="B54" s="11" t="n">
        <x:v>13</x:v>
      </x:c>
      <x:c r="C54" s="11" t="str">
        <x:v>Fünf Sommer mit dir</x:v>
      </x:c>
      <x:c r="D54" s="11" t="str">
        <x:v>Fünf Sommer mit dir</x:v>
      </x:c>
      <x:c r="E54" s="11" t="str">
        <x:v>Carley Fortune</x:v>
      </x:c>
      <x:c r="F54" s="11" t="str">
        <x:v>Official #BookTok Top 20</x:v>
      </x:c>
      <x:c r="G54" s="11" t="str">
        <x:v>Media Control &amp; TikTok</x:v>
      </x:c>
      <x:c r="H54" s="11" t="n">
        <x:v>202306</x:v>
      </x:c>
      <x:c r="I54" s="11" t="str">
        <x:v>Complete</x:v>
      </x:c>
      <x:c r="J54" s="11" t="str">
        <x:v>Yes</x:v>
      </x:c>
    </x:row>
    <x:row r="55">
      <x:c r="A55" s="11" t="str">
        <x:v>2023-06</x:v>
      </x:c>
      <x:c r="B55" s="11" t="n">
        <x:v>14</x:v>
      </x:c>
      <x:c r="C55" s="11" t="str">
        <x:v>If he had been with me</x:v>
      </x:c>
      <x:c r="D55" s="11" t="str">
        <x:v>If he had been with me</x:v>
      </x:c>
      <x:c r="E55" s="11" t="str">
        <x:v>Laura Nowlin</x:v>
      </x:c>
      <x:c r="F55" s="11" t="str">
        <x:v>Official #BookTok Top 20</x:v>
      </x:c>
      <x:c r="G55" s="11" t="str">
        <x:v>Media Control &amp; TikTok</x:v>
      </x:c>
      <x:c r="H55" s="11" t="n">
        <x:v>202306</x:v>
      </x:c>
      <x:c r="I55" s="11" t="str">
        <x:v>Complete</x:v>
      </x:c>
      <x:c r="J55" s="11" t="str">
        <x:v>Yes</x:v>
      </x:c>
    </x:row>
    <x:row r="56">
      <x:c r="A56" s="11" t="str">
        <x:v>2023-06</x:v>
      </x:c>
      <x:c r="B56" s="11" t="n">
        <x:v>15</x:v>
      </x:c>
      <x:c r="C56" s="11" t="str">
        <x:v>Very Bad Kings</x:v>
      </x:c>
      <x:c r="D56" s="11" t="str">
        <x:v>Very Bad Kings</x:v>
      </x:c>
      <x:c r="E56" s="11" t="str">
        <x:v>J. S. Wonda</x:v>
      </x:c>
      <x:c r="F56" s="11" t="str">
        <x:v>Official #BookTok Top 20</x:v>
      </x:c>
      <x:c r="G56" s="11" t="str">
        <x:v>Media Control &amp; TikTok</x:v>
      </x:c>
      <x:c r="H56" s="11" t="n">
        <x:v>202306</x:v>
      </x:c>
      <x:c r="I56" s="11" t="str">
        <x:v>Complete</x:v>
      </x:c>
      <x:c r="J56" s="11" t="str">
        <x:v>Yes</x:v>
      </x:c>
    </x:row>
    <x:row r="57">
      <x:c r="A57" s="11" t="str">
        <x:v>2023-06</x:v>
      </x:c>
      <x:c r="B57" s="11" t="n">
        <x:v>16</x:v>
      </x:c>
      <x:c r="C57" s="11" t="str">
        <x:v>It starts with us - Nur noch einmal und für immer</x:v>
      </x:c>
      <x:c r="D57" s="11" t="str">
        <x:v>It starts with us - Nur noch einmal und für immer</x:v>
      </x:c>
      <x:c r="E57" s="11" t="str">
        <x:v>Colleen Hoover</x:v>
      </x:c>
      <x:c r="F57" s="11" t="str">
        <x:v>Official #BookTok Top 20</x:v>
      </x:c>
      <x:c r="G57" s="11" t="str">
        <x:v>Media Control &amp; TikTok</x:v>
      </x:c>
      <x:c r="H57" s="11" t="n">
        <x:v>202306</x:v>
      </x:c>
      <x:c r="I57" s="11" t="str">
        <x:v>Complete</x:v>
      </x:c>
      <x:c r="J57" s="11" t="str">
        <x:v>Yes</x:v>
      </x:c>
    </x:row>
    <x:row r="58">
      <x:c r="A58" s="11" t="str">
        <x:v>2023-06</x:v>
      </x:c>
      <x:c r="B58" s="11" t="n">
        <x:v>17</x:v>
      </x:c>
      <x:c r="C58" s="11" t="str">
        <x:v>Zerbrich uns. Nicht.</x:v>
      </x:c>
      <x:c r="D58" s="11" t="str">
        <x:v>Zerbrich uns. Nicht.</x:v>
      </x:c>
      <x:c r="E58" s="11" t="str">
        <x:v>Laura Kneidl</x:v>
      </x:c>
      <x:c r="F58" s="11" t="str">
        <x:v>Official #BookTok Top 20</x:v>
      </x:c>
      <x:c r="G58" s="11" t="str">
        <x:v>Media Control &amp; TikTok</x:v>
      </x:c>
      <x:c r="H58" s="11" t="n">
        <x:v>202306</x:v>
      </x:c>
      <x:c r="I58" s="11" t="str">
        <x:v>Complete</x:v>
      </x:c>
      <x:c r="J58" s="11" t="str">
        <x:v>Yes</x:v>
      </x:c>
    </x:row>
    <x:row r="59">
      <x:c r="A59" s="11" t="str">
        <x:v>2023-06</x:v>
      </x:c>
      <x:c r="B59" s="11" t="n">
        <x:v>18</x:v>
      </x:c>
      <x:c r="C59" s="11" t="str">
        <x:v>Things We Hide From The Light</x:v>
      </x:c>
      <x:c r="D59" s="11" t="str">
        <x:v>Things We Hide From The Light</x:v>
      </x:c>
      <x:c r="E59" s="11" t="str">
        <x:v>Lucy Score</x:v>
      </x:c>
      <x:c r="F59" s="11" t="str">
        <x:v>Official #BookTok Top 20</x:v>
      </x:c>
      <x:c r="G59" s="11" t="str">
        <x:v>Media Control &amp; TikTok</x:v>
      </x:c>
      <x:c r="H59" s="11" t="n">
        <x:v>202306</x:v>
      </x:c>
      <x:c r="I59" s="11" t="str">
        <x:v>Complete</x:v>
      </x:c>
      <x:c r="J59" s="11" t="str">
        <x:v>Yes</x:v>
      </x:c>
    </x:row>
    <x:row r="60">
      <x:c r="A60" s="11" t="str">
        <x:v>2023-06</x:v>
      </x:c>
      <x:c r="B60" s="11" t="n">
        <x:v>19</x:v>
      </x:c>
      <x:c r="C60" s="11" t="str">
        <x:v>Twisted Games</x:v>
      </x:c>
      <x:c r="D60" s="11" t="str">
        <x:v>Twisted Games</x:v>
      </x:c>
      <x:c r="E60" s="11" t="str">
        <x:v>Ana Huang</x:v>
      </x:c>
      <x:c r="F60" s="11" t="str">
        <x:v>Official #BookTok Top 20</x:v>
      </x:c>
      <x:c r="G60" s="11" t="str">
        <x:v>Media Control &amp; TikTok</x:v>
      </x:c>
      <x:c r="H60" s="11" t="n">
        <x:v>202306</x:v>
      </x:c>
      <x:c r="I60" s="11" t="str">
        <x:v>Complete</x:v>
      </x:c>
      <x:c r="J60" s="11" t="str">
        <x:v>Yes</x:v>
      </x:c>
    </x:row>
    <x:row r="61">
      <x:c r="A61" s="11" t="str">
        <x:v>2023-06</x:v>
      </x:c>
      <x:c r="B61" s="11" t="n">
        <x:v>20</x:v>
      </x:c>
      <x:c r="C61" s="11" t="str">
        <x:v>Twisted Hate</x:v>
      </x:c>
      <x:c r="D61" s="11" t="str">
        <x:v>Twisted Hate</x:v>
      </x:c>
      <x:c r="E61" s="11" t="str">
        <x:v>Ana Huang</x:v>
      </x:c>
      <x:c r="F61" s="11" t="str">
        <x:v>Official #BookTok Top 20</x:v>
      </x:c>
      <x:c r="G61" s="11" t="str">
        <x:v>Media Control &amp; TikTok</x:v>
      </x:c>
      <x:c r="H61" s="11" t="n">
        <x:v>202306</x:v>
      </x:c>
      <x:c r="I61" s="11" t="str">
        <x:v>Complete</x:v>
      </x:c>
      <x:c r="J61" s="11" t="str">
        <x:v>Yes</x:v>
      </x:c>
    </x:row>
    <x:row r="62">
      <x:c r="A62" s="11" t="str">
        <x:v>2023-07</x:v>
      </x:c>
      <x:c r="B62" s="11" t="n">
        <x:v>1</x:v>
      </x:c>
      <x:c r="C62" s="11" t="str">
        <x:v>Vergissmeinnicht - Was bisher verloren war</x:v>
      </x:c>
      <x:c r="D62" s="11" t="str">
        <x:v>Vergissmeinnicht - Was bisher verloren war</x:v>
      </x:c>
      <x:c r="E62" s="11" t="str">
        <x:v>Kerstin Gier</x:v>
      </x:c>
      <x:c r="F62" s="11" t="str">
        <x:v>Official #BookTok Top 20</x:v>
      </x:c>
      <x:c r="G62" s="11" t="str">
        <x:v>Media Control &amp; TikTok</x:v>
      </x:c>
      <x:c r="H62" s="11" t="n">
        <x:v>202307</x:v>
      </x:c>
      <x:c r="I62" s="11" t="str">
        <x:v>Complete</x:v>
      </x:c>
      <x:c r="J62" s="11" t="str">
        <x:v>Yes</x:v>
      </x:c>
    </x:row>
    <x:row r="63">
      <x:c r="A63" s="11" t="str">
        <x:v>2023-07</x:v>
      </x:c>
      <x:c r="B63" s="11" t="n">
        <x:v>2</x:v>
      </x:c>
      <x:c r="C63" s="11" t="str">
        <x:v>Fourth Wing - Flammengeküsst</x:v>
      </x:c>
      <x:c r="D63" s="11" t="str">
        <x:v>Fourth Wing - Flammengeküsst</x:v>
      </x:c>
      <x:c r="E63" s="11" t="str">
        <x:v>Rebecca Yarros</x:v>
      </x:c>
      <x:c r="F63" s="11" t="str">
        <x:v>Official #BookTok Top 20</x:v>
      </x:c>
      <x:c r="G63" s="11" t="str">
        <x:v>Media Control &amp; TikTok</x:v>
      </x:c>
      <x:c r="H63" s="11" t="n">
        <x:v>202307</x:v>
      </x:c>
      <x:c r="I63" s="11" t="str">
        <x:v>Complete</x:v>
      </x:c>
      <x:c r="J63" s="11" t="str">
        <x:v>Yes</x:v>
      </x:c>
    </x:row>
    <x:row r="64">
      <x:c r="A64" s="11" t="str">
        <x:v>2023-07</x:v>
      </x:c>
      <x:c r="B64" s="11" t="n">
        <x:v>3</x:v>
      </x:c>
      <x:c r="C64" s="11" t="str">
        <x:v>Das Kind in dir muss Heimat finden</x:v>
      </x:c>
      <x:c r="D64" s="11" t="str">
        <x:v>Das Kind in dir muss Heimat finden</x:v>
      </x:c>
      <x:c r="E64" s="11" t="str">
        <x:v>Stefanie Stahl</x:v>
      </x:c>
      <x:c r="F64" s="11" t="str">
        <x:v>Official #BookTok Top 20</x:v>
      </x:c>
      <x:c r="G64" s="11" t="str">
        <x:v>Media Control &amp; TikTok</x:v>
      </x:c>
      <x:c r="H64" s="11" t="n">
        <x:v>202307</x:v>
      </x:c>
      <x:c r="I64" s="11" t="str">
        <x:v>Complete</x:v>
      </x:c>
      <x:c r="J64" s="11" t="str">
        <x:v>Yes</x:v>
      </x:c>
    </x:row>
    <x:row r="65">
      <x:c r="A65" s="11" t="str">
        <x:v>2023-07</x:v>
      </x:c>
      <x:c r="B65" s="11" t="n">
        <x:v>4</x:v>
      </x:c>
      <x:c r="C65" s="11" t="str">
        <x:v>Die Mitternachtsbibliothek</x:v>
      </x:c>
      <x:c r="D65" s="11" t="str">
        <x:v>Die Mitternachtsbibliothek</x:v>
      </x:c>
      <x:c r="E65" s="11" t="str">
        <x:v>Matt Haig</x:v>
      </x:c>
      <x:c r="F65" s="11" t="str">
        <x:v>Official #BookTok Top 20</x:v>
      </x:c>
      <x:c r="G65" s="11" t="str">
        <x:v>Media Control &amp; TikTok</x:v>
      </x:c>
      <x:c r="H65" s="11" t="n">
        <x:v>202307</x:v>
      </x:c>
      <x:c r="I65" s="11" t="str">
        <x:v>Complete</x:v>
      </x:c>
      <x:c r="J65" s="11" t="str">
        <x:v>Yes</x:v>
      </x:c>
    </x:row>
    <x:row r="66">
      <x:c r="A66" s="11" t="str">
        <x:v>2023-07</x:v>
      </x:c>
      <x:c r="B66" s="11" t="n">
        <x:v>5</x:v>
      </x:c>
      <x:c r="C66" s="11" t="str">
        <x:v>22 Bahnen</x:v>
      </x:c>
      <x:c r="D66" s="11" t="str">
        <x:v>22 Bahnen</x:v>
      </x:c>
      <x:c r="E66" s="11" t="str">
        <x:v>Caroline Wahl</x:v>
      </x:c>
      <x:c r="F66" s="11" t="str">
        <x:v>Official #BookTok Top 20</x:v>
      </x:c>
      <x:c r="G66" s="11" t="str">
        <x:v>Media Control &amp; TikTok</x:v>
      </x:c>
      <x:c r="H66" s="11" t="n">
        <x:v>202307</x:v>
      </x:c>
      <x:c r="I66" s="11" t="str">
        <x:v>Complete</x:v>
      </x:c>
      <x:c r="J66" s="11" t="str">
        <x:v>Yes</x:v>
      </x:c>
    </x:row>
    <x:row r="67">
      <x:c r="A67" s="11" t="str">
        <x:v>2023-07</x:v>
      </x:c>
      <x:c r="B67" s="11" t="n">
        <x:v>6</x:v>
      </x:c>
      <x:c r="C67" s="11" t="str">
        <x:v>Die 1%-Methode - Minimale Veränderung, maximale Wirkung</x:v>
      </x:c>
      <x:c r="D67" s="11" t="str">
        <x:v>Die 1%-Methode - Minimale Veränderung, maximale Wirkung</x:v>
      </x:c>
      <x:c r="E67" s="11" t="str">
        <x:v>James Clear</x:v>
      </x:c>
      <x:c r="F67" s="11" t="str">
        <x:v>Official #BookTok Top 20</x:v>
      </x:c>
      <x:c r="G67" s="11" t="str">
        <x:v>Media Control &amp; TikTok</x:v>
      </x:c>
      <x:c r="H67" s="11" t="n">
        <x:v>202307</x:v>
      </x:c>
      <x:c r="I67" s="11" t="str">
        <x:v>Complete</x:v>
      </x:c>
      <x:c r="J67" s="11" t="str">
        <x:v>Yes</x:v>
      </x:c>
    </x:row>
    <x:row r="68">
      <x:c r="A68" s="11" t="str">
        <x:v>2023-07</x:v>
      </x:c>
      <x:c r="B68" s="11" t="n">
        <x:v>7</x:v>
      </x:c>
      <x:c r="C68" s="11" t="str">
        <x:v>The Unhoneymooners - Sie können sich nicht ausstehen ...</x:v>
      </x:c>
      <x:c r="D68" s="11" t="str">
        <x:v>The Unhoneymooners - Sie können sich nicht ausstehen ...</x:v>
      </x:c>
      <x:c r="E68" s="11" t="str">
        <x:v>Christina Lauren</x:v>
      </x:c>
      <x:c r="F68" s="11" t="str">
        <x:v>Official #BookTok Top 20</x:v>
      </x:c>
      <x:c r="G68" s="11" t="str">
        <x:v>Media Control &amp; TikTok</x:v>
      </x:c>
      <x:c r="H68" s="11" t="n">
        <x:v>202307</x:v>
      </x:c>
      <x:c r="I68" s="11" t="str">
        <x:v>Complete</x:v>
      </x:c>
      <x:c r="J68" s="11" t="str">
        <x:v>Yes</x:v>
      </x:c>
    </x:row>
    <x:row r="69">
      <x:c r="A69" s="11" t="str">
        <x:v>2023-07</x:v>
      </x:c>
      <x:c r="B69" s="11" t="n">
        <x:v>8</x:v>
      </x:c>
      <x:c r="C69" s="11" t="str">
        <x:v>Nur noch ein einziges Mal</x:v>
      </x:c>
      <x:c r="D69" s="11" t="str">
        <x:v>Nur noch ein einziges Mal</x:v>
      </x:c>
      <x:c r="E69" s="11" t="str">
        <x:v>Colleen Hoover</x:v>
      </x:c>
      <x:c r="F69" s="11" t="str">
        <x:v>Official #BookTok Top 20</x:v>
      </x:c>
      <x:c r="G69" s="11" t="str">
        <x:v>Media Control &amp; TikTok</x:v>
      </x:c>
      <x:c r="H69" s="11" t="n">
        <x:v>202307</x:v>
      </x:c>
      <x:c r="I69" s="11" t="str">
        <x:v>Complete</x:v>
      </x:c>
      <x:c r="J69" s="11" t="str">
        <x:v>Yes</x:v>
      </x:c>
    </x:row>
    <x:row r="70">
      <x:c r="A70" s="11" t="str">
        <x:v>2023-07</x:v>
      </x:c>
      <x:c r="B70" s="11" t="n">
        <x:v>9</x:v>
      </x:c>
      <x:c r="C70" s="11" t="str">
        <x:v>Verity</x:v>
      </x:c>
      <x:c r="D70" s="11" t="str">
        <x:v>Verity</x:v>
      </x:c>
      <x:c r="E70" s="11" t="str">
        <x:v>Colleen Hoover</x:v>
      </x:c>
      <x:c r="F70" s="11" t="str">
        <x:v>Official #BookTok Top 20</x:v>
      </x:c>
      <x:c r="G70" s="11" t="str">
        <x:v>Media Control &amp; TikTok</x:v>
      </x:c>
      <x:c r="H70" s="11" t="n">
        <x:v>202307</x:v>
      </x:c>
      <x:c r="I70" s="11" t="str">
        <x:v>Complete</x:v>
      </x:c>
      <x:c r="J70" s="11" t="str">
        <x:v>Yes</x:v>
      </x:c>
    </x:row>
    <x:row r="71">
      <x:c r="A71" s="11" t="str">
        <x:v>2023-07</x:v>
      </x:c>
      <x:c r="B71" s="11" t="n">
        <x:v>10</x:v>
      </x:c>
      <x:c r="C71" s="11" t="str">
        <x:v>Shatter Me</x:v>
      </x:c>
      <x:c r="D71" s="11" t="str">
        <x:v>Shatter Me</x:v>
      </x:c>
      <x:c r="E71" s="11" t="str">
        <x:v>Tahereh Mafi</x:v>
      </x:c>
      <x:c r="F71" s="11" t="str">
        <x:v>Official #BookTok Top 20</x:v>
      </x:c>
      <x:c r="G71" s="11" t="str">
        <x:v>Media Control &amp; TikTok</x:v>
      </x:c>
      <x:c r="H71" s="11" t="n">
        <x:v>202307</x:v>
      </x:c>
      <x:c r="I71" s="11" t="str">
        <x:v>Complete</x:v>
      </x:c>
      <x:c r="J71" s="11" t="str">
        <x:v>Yes</x:v>
      </x:c>
    </x:row>
    <x:row r="72">
      <x:c r="A72" s="11" t="str">
        <x:v>2023-07</x:v>
      </x:c>
      <x:c r="B72" s="11" t="n">
        <x:v>11</x:v>
      </x:c>
      <x:c r="C72" s="11" t="str">
        <x:v>101 Essays, die dein Leben verändern werden</x:v>
      </x:c>
      <x:c r="D72" s="11" t="str">
        <x:v>101 Essays, die dein Leben verändern werden</x:v>
      </x:c>
      <x:c r="E72" s="11" t="str">
        <x:v>Brianna Wiest</x:v>
      </x:c>
      <x:c r="F72" s="11" t="str">
        <x:v>Official #BookTok Top 20</x:v>
      </x:c>
      <x:c r="G72" s="11" t="str">
        <x:v>Media Control &amp; TikTok</x:v>
      </x:c>
      <x:c r="H72" s="11" t="n">
        <x:v>202307</x:v>
      </x:c>
      <x:c r="I72" s="11" t="str">
        <x:v>Complete</x:v>
      </x:c>
      <x:c r="J72" s="11" t="str">
        <x:v>Yes</x:v>
      </x:c>
    </x:row>
    <x:row r="73">
      <x:c r="A73" s="11" t="str">
        <x:v>2023-07</x:v>
      </x:c>
      <x:c r="B73" s="11" t="n">
        <x:v>12</x:v>
      </x:c>
      <x:c r="C73" s="11" t="str">
        <x:v>Very Bad Kings</x:v>
      </x:c>
      <x:c r="D73" s="11" t="str">
        <x:v>Very Bad Kings</x:v>
      </x:c>
      <x:c r="E73" s="11" t="str">
        <x:v>J. S. Wonda</x:v>
      </x:c>
      <x:c r="F73" s="11" t="str">
        <x:v>Official #BookTok Top 20</x:v>
      </x:c>
      <x:c r="G73" s="11" t="str">
        <x:v>Media Control &amp; TikTok</x:v>
      </x:c>
      <x:c r="H73" s="11" t="n">
        <x:v>202307</x:v>
      </x:c>
      <x:c r="I73" s="11" t="str">
        <x:v>Complete</x:v>
      </x:c>
      <x:c r="J73" s="11" t="str">
        <x:v>Yes</x:v>
      </x:c>
    </x:row>
    <x:row r="74">
      <x:c r="A74" s="11" t="str">
        <x:v>2023-07</x:v>
      </x:c>
      <x:c r="B74" s="11" t="n">
        <x:v>13</x:v>
      </x:c>
      <x:c r="C74" s="11" t="str">
        <x:v>Twisted Hate</x:v>
      </x:c>
      <x:c r="D74" s="11" t="str">
        <x:v>Twisted Hate</x:v>
      </x:c>
      <x:c r="E74" s="11" t="str">
        <x:v>Ana Huang</x:v>
      </x:c>
      <x:c r="F74" s="11" t="str">
        <x:v>Official #BookTok Top 20</x:v>
      </x:c>
      <x:c r="G74" s="11" t="str">
        <x:v>Media Control &amp; TikTok</x:v>
      </x:c>
      <x:c r="H74" s="11" t="n">
        <x:v>202307</x:v>
      </x:c>
      <x:c r="I74" s="11" t="str">
        <x:v>Complete</x:v>
      </x:c>
      <x:c r="J74" s="11" t="str">
        <x:v>Yes</x:v>
      </x:c>
    </x:row>
    <x:row r="75">
      <x:c r="A75" s="11" t="str">
        <x:v>2023-07</x:v>
      </x:c>
      <x:c r="B75" s="11" t="n">
        <x:v>14</x:v>
      </x:c>
      <x:c r="C75" s="11" t="str">
        <x:v>If he had been with me</x:v>
      </x:c>
      <x:c r="D75" s="11" t="str">
        <x:v>If he had been with me</x:v>
      </x:c>
      <x:c r="E75" s="11" t="str">
        <x:v>Laura Nowlin</x:v>
      </x:c>
      <x:c r="F75" s="11" t="str">
        <x:v>Official #BookTok Top 20</x:v>
      </x:c>
      <x:c r="G75" s="11" t="str">
        <x:v>Media Control &amp; TikTok</x:v>
      </x:c>
      <x:c r="H75" s="11" t="n">
        <x:v>202307</x:v>
      </x:c>
      <x:c r="I75" s="11" t="str">
        <x:v>Complete</x:v>
      </x:c>
      <x:c r="J75" s="11" t="str">
        <x:v>Yes</x:v>
      </x:c>
    </x:row>
    <x:row r="76">
      <x:c r="A76" s="11" t="str">
        <x:v>2023-07</x:v>
      </x:c>
      <x:c r="B76" s="11" t="n">
        <x:v>15</x:v>
      </x:c>
      <x:c r="C76" s="11" t="str">
        <x:v>Fünf Sommer mit dir</x:v>
      </x:c>
      <x:c r="D76" s="11" t="str">
        <x:v>Fünf Sommer mit dir</x:v>
      </x:c>
      <x:c r="E76" s="11" t="str">
        <x:v>Carley Fortune</x:v>
      </x:c>
      <x:c r="F76" s="11" t="str">
        <x:v>Official #BookTok Top 20</x:v>
      </x:c>
      <x:c r="G76" s="11" t="str">
        <x:v>Media Control &amp; TikTok</x:v>
      </x:c>
      <x:c r="H76" s="11" t="n">
        <x:v>202307</x:v>
      </x:c>
      <x:c r="I76" s="11" t="str">
        <x:v>Complete</x:v>
      </x:c>
      <x:c r="J76" s="11" t="str">
        <x:v>Yes</x:v>
      </x:c>
    </x:row>
    <x:row r="77">
      <x:c r="A77" s="11" t="str">
        <x:v>2023-07</x:v>
      </x:c>
      <x:c r="B77" s="11" t="n">
        <x:v>16</x:v>
      </x:c>
      <x:c r="C77" s="11" t="str">
        <x:v>Icebreaker</x:v>
      </x:c>
      <x:c r="D77" s="11" t="str">
        <x:v>Icebreaker</x:v>
      </x:c>
      <x:c r="E77" s="11" t="str">
        <x:v>Hannah Grace</x:v>
      </x:c>
      <x:c r="F77" s="11" t="str">
        <x:v>Official #BookTok Top 20</x:v>
      </x:c>
      <x:c r="G77" s="11" t="str">
        <x:v>Media Control &amp; TikTok</x:v>
      </x:c>
      <x:c r="H77" s="11" t="n">
        <x:v>202307</x:v>
      </x:c>
      <x:c r="I77" s="11" t="str">
        <x:v>Complete</x:v>
      </x:c>
      <x:c r="J77" s="11" t="str">
        <x:v>Yes</x:v>
      </x:c>
    </x:row>
    <x:row r="78">
      <x:c r="A78" s="11" t="str">
        <x:v>2023-07</x:v>
      </x:c>
      <x:c r="B78" s="11" t="n">
        <x:v>17</x:v>
      </x:c>
      <x:c r="C78" s="11" t="str">
        <x:v>Catch the Billions, Baby!</x:v>
      </x:c>
      <x:c r="D78" s="11" t="str">
        <x:v>Catch the Billions, Baby!</x:v>
      </x:c>
      <x:c r="E78" s="11" t="str">
        <x:v>J. S. Wonda</x:v>
      </x:c>
      <x:c r="F78" s="11" t="str">
        <x:v>Official #BookTok Top 20</x:v>
      </x:c>
      <x:c r="G78" s="11" t="str">
        <x:v>Media Control &amp; TikTok</x:v>
      </x:c>
      <x:c r="H78" s="11" t="n">
        <x:v>202307</x:v>
      </x:c>
      <x:c r="I78" s="11" t="str">
        <x:v>Complete</x:v>
      </x:c>
      <x:c r="J78" s="11" t="str">
        <x:v>Yes</x:v>
      </x:c>
    </x:row>
    <x:row r="79">
      <x:c r="A79" s="11" t="str">
        <x:v>2023-07</x:v>
      </x:c>
      <x:c r="B79" s="11" t="n">
        <x:v>18</x:v>
      </x:c>
      <x:c r="C79" s="11" t="str">
        <x:v>Zerbrich uns. Nicht.</x:v>
      </x:c>
      <x:c r="D79" s="11" t="str">
        <x:v>Zerbrich uns. Nicht.</x:v>
      </x:c>
      <x:c r="E79" s="11" t="str">
        <x:v>Laura Kneidl</x:v>
      </x:c>
      <x:c r="F79" s="11" t="str">
        <x:v>Official #BookTok Top 20</x:v>
      </x:c>
      <x:c r="G79" s="11" t="str">
        <x:v>Media Control &amp; TikTok</x:v>
      </x:c>
      <x:c r="H79" s="11" t="n">
        <x:v>202307</x:v>
      </x:c>
      <x:c r="I79" s="11" t="str">
        <x:v>Complete</x:v>
      </x:c>
      <x:c r="J79" s="11" t="str">
        <x:v>Yes</x:v>
      </x:c>
    </x:row>
    <x:row r="80">
      <x:c r="A80" s="11" t="str">
        <x:v>2023-07</x:v>
      </x:c>
      <x:c r="B80" s="11" t="n">
        <x:v>19</x:v>
      </x:c>
      <x:c r="C80" s="11" t="str">
        <x:v>Dreamland Billionaires - The Fine Print</x:v>
      </x:c>
      <x:c r="D80" s="11" t="str">
        <x:v>Dreamland Billionaires - The Fine Print</x:v>
      </x:c>
      <x:c r="E80" s="11" t="str">
        <x:v>Lauren Asher</x:v>
      </x:c>
      <x:c r="F80" s="11" t="str">
        <x:v>Official #BookTok Top 20</x:v>
      </x:c>
      <x:c r="G80" s="11" t="str">
        <x:v>Media Control &amp; TikTok</x:v>
      </x:c>
      <x:c r="H80" s="11" t="n">
        <x:v>202307</x:v>
      </x:c>
      <x:c r="I80" s="11" t="str">
        <x:v>Complete</x:v>
      </x:c>
      <x:c r="J80" s="11" t="str">
        <x:v>Yes</x:v>
      </x:c>
    </x:row>
    <x:row r="81">
      <x:c r="A81" s="11" t="str">
        <x:v>2023-07</x:v>
      </x:c>
      <x:c r="B81" s="11" t="n">
        <x:v>20</x:v>
      </x:c>
      <x:c r="C81" s="11" t="str">
        <x:v>It starts with us - Nur noch einmal und für immer</x:v>
      </x:c>
      <x:c r="D81" s="11" t="str">
        <x:v>It starts with us - Nur noch einmal und für immer</x:v>
      </x:c>
      <x:c r="E81" s="11" t="str">
        <x:v>Colleen Hoover</x:v>
      </x:c>
      <x:c r="F81" s="11" t="str">
        <x:v>Official #BookTok Top 20</x:v>
      </x:c>
      <x:c r="G81" s="11" t="str">
        <x:v>Media Control &amp; TikTok</x:v>
      </x:c>
      <x:c r="H81" s="11" t="n">
        <x:v>202307</x:v>
      </x:c>
      <x:c r="I81" s="11" t="str">
        <x:v>Complete</x:v>
      </x:c>
      <x:c r="J81" s="11" t="str">
        <x:v>Yes</x:v>
      </x:c>
    </x:row>
    <x:row r="82">
      <x:c r="A82" s="11" t="str">
        <x:v>2023-08</x:v>
      </x:c>
      <x:c r="B82" s="11" t="n">
        <x:v>1</x:v>
      </x:c>
      <x:c r="C82" s="11" t="str">
        <x:v>Fourth Wing - Flammengeküsst</x:v>
      </x:c>
      <x:c r="D82" s="11" t="str">
        <x:v>Fourth Wing - Flammengeküsst</x:v>
      </x:c>
      <x:c r="E82" s="11" t="str">
        <x:v>Rebecca Yarros</x:v>
      </x:c>
      <x:c r="F82" s="11" t="str">
        <x:v>Official #BookTok Top 20</x:v>
      </x:c>
      <x:c r="G82" s="11" t="str">
        <x:v>Media Control &amp; TikTok</x:v>
      </x:c>
      <x:c r="H82" s="11" t="n">
        <x:v>202308</x:v>
      </x:c>
      <x:c r="I82" s="11" t="str">
        <x:v>Complete</x:v>
      </x:c>
      <x:c r="J82" s="11" t="str">
        <x:v>Yes</x:v>
      </x:c>
    </x:row>
    <x:row r="83">
      <x:c r="A83" s="11" t="str">
        <x:v>2023-08</x:v>
      </x:c>
      <x:c r="B83" s="11" t="n">
        <x:v>2</x:v>
      </x:c>
      <x:c r="C83" s="11" t="str">
        <x:v>It starts with us - Nur noch einmal und für immer</x:v>
      </x:c>
      <x:c r="D83" s="11" t="str">
        <x:v>It starts with us - Nur noch einmal und für immer</x:v>
      </x:c>
      <x:c r="E83" s="11" t="str">
        <x:v>Colleen Hoover</x:v>
      </x:c>
      <x:c r="F83" s="11" t="str">
        <x:v>Official #BookTok Top 20</x:v>
      </x:c>
      <x:c r="G83" s="11" t="str">
        <x:v>Media Control &amp; TikTok</x:v>
      </x:c>
      <x:c r="H83" s="11" t="n">
        <x:v>202308</x:v>
      </x:c>
      <x:c r="I83" s="11" t="str">
        <x:v>Complete</x:v>
      </x:c>
      <x:c r="J83" s="11" t="str">
        <x:v>Yes</x:v>
      </x:c>
    </x:row>
    <x:row r="84">
      <x:c r="A84" s="11" t="str">
        <x:v>2023-08</x:v>
      </x:c>
      <x:c r="B84" s="11" t="n">
        <x:v>3</x:v>
      </x:c>
      <x:c r="C84" s="11" t="str">
        <x:v>Icebreaker</x:v>
      </x:c>
      <x:c r="D84" s="11" t="str">
        <x:v>Icebreaker</x:v>
      </x:c>
      <x:c r="E84" s="11" t="str">
        <x:v>Hannah Grace</x:v>
      </x:c>
      <x:c r="F84" s="11" t="str">
        <x:v>Official #BookTok Top 20</x:v>
      </x:c>
      <x:c r="G84" s="11" t="str">
        <x:v>Media Control &amp; TikTok</x:v>
      </x:c>
      <x:c r="H84" s="11" t="n">
        <x:v>202308</x:v>
      </x:c>
      <x:c r="I84" s="11" t="str">
        <x:v>Complete</x:v>
      </x:c>
      <x:c r="J84" s="11" t="str">
        <x:v>Yes</x:v>
      </x:c>
    </x:row>
    <x:row r="85">
      <x:c r="A85" s="11" t="str">
        <x:v>2023-08</x:v>
      </x:c>
      <x:c r="B85" s="11" t="n">
        <x:v>4</x:v>
      </x:c>
      <x:c r="C85" s="11" t="str">
        <x:v>Die Mitternachtsbibliothek</x:v>
      </x:c>
      <x:c r="D85" s="11" t="str">
        <x:v>Die Mitternachtsbibliothek</x:v>
      </x:c>
      <x:c r="E85" s="11" t="str">
        <x:v>Matt Haig</x:v>
      </x:c>
      <x:c r="F85" s="11" t="str">
        <x:v>Official #BookTok Top 20</x:v>
      </x:c>
      <x:c r="G85" s="11" t="str">
        <x:v>Media Control &amp; TikTok</x:v>
      </x:c>
      <x:c r="H85" s="11" t="n">
        <x:v>202308</x:v>
      </x:c>
      <x:c r="I85" s="11" t="str">
        <x:v>Complete</x:v>
      </x:c>
      <x:c r="J85" s="11" t="str">
        <x:v>Yes</x:v>
      </x:c>
    </x:row>
    <x:row r="86">
      <x:c r="A86" s="11" t="str">
        <x:v>2023-08</x:v>
      </x:c>
      <x:c r="B86" s="11" t="n">
        <x:v>5</x:v>
      </x:c>
      <x:c r="C86" s="11" t="str">
        <x:v>22 Bahnen</x:v>
      </x:c>
      <x:c r="D86" s="11" t="str">
        <x:v>22 Bahnen</x:v>
      </x:c>
      <x:c r="E86" s="11" t="str">
        <x:v>Caroline Wahl</x:v>
      </x:c>
      <x:c r="F86" s="11" t="str">
        <x:v>Official #BookTok Top 20</x:v>
      </x:c>
      <x:c r="G86" s="11" t="str">
        <x:v>Media Control &amp; TikTok</x:v>
      </x:c>
      <x:c r="H86" s="11" t="n">
        <x:v>202308</x:v>
      </x:c>
      <x:c r="I86" s="11" t="str">
        <x:v>Complete</x:v>
      </x:c>
      <x:c r="J86" s="11" t="str">
        <x:v>Yes</x:v>
      </x:c>
    </x:row>
    <x:row r="87">
      <x:c r="A87" s="11" t="str">
        <x:v>2023-08</x:v>
      </x:c>
      <x:c r="B87" s="11" t="n">
        <x:v>6</x:v>
      </x:c>
      <x:c r="C87" s="11" t="str">
        <x:v>Das Kind in dir muss Heimat finden</x:v>
      </x:c>
      <x:c r="D87" s="11" t="str">
        <x:v>Das Kind in dir muss Heimat finden</x:v>
      </x:c>
      <x:c r="E87" s="11" t="str">
        <x:v>Stefanie Stahl</x:v>
      </x:c>
      <x:c r="F87" s="11" t="str">
        <x:v>Official #BookTok Top 20</x:v>
      </x:c>
      <x:c r="G87" s="11" t="str">
        <x:v>Media Control &amp; TikTok</x:v>
      </x:c>
      <x:c r="H87" s="11" t="n">
        <x:v>202308</x:v>
      </x:c>
      <x:c r="I87" s="11" t="str">
        <x:v>Complete</x:v>
      </x:c>
      <x:c r="J87" s="11" t="str">
        <x:v>Yes</x:v>
      </x:c>
    </x:row>
    <x:row r="88">
      <x:c r="A88" s="11" t="str">
        <x:v>2023-08</x:v>
      </x:c>
      <x:c r="B88" s="11" t="n">
        <x:v>7</x:v>
      </x:c>
      <x:c r="C88" s="11" t="str">
        <x:v>Die 1%-Methode - Minimale Veränderung, maximale Wirkung</x:v>
      </x:c>
      <x:c r="D88" s="11" t="str">
        <x:v>Die 1%-Methode - Minimale Veränderung, maximale Wirkung</x:v>
      </x:c>
      <x:c r="E88" s="11" t="str">
        <x:v>James Clear</x:v>
      </x:c>
      <x:c r="F88" s="11" t="str">
        <x:v>Official #BookTok Top 20</x:v>
      </x:c>
      <x:c r="G88" s="11" t="str">
        <x:v>Media Control &amp; TikTok</x:v>
      </x:c>
      <x:c r="H88" s="11" t="n">
        <x:v>202308</x:v>
      </x:c>
      <x:c r="I88" s="11" t="str">
        <x:v>Complete</x:v>
      </x:c>
      <x:c r="J88" s="11" t="str">
        <x:v>Yes</x:v>
      </x:c>
    </x:row>
    <x:row r="89">
      <x:c r="A89" s="11" t="str">
        <x:v>2023-08</x:v>
      </x:c>
      <x:c r="B89" s="11" t="n">
        <x:v>8</x:v>
      </x:c>
      <x:c r="C89" s="11" t="str">
        <x:v>Infinity Falling - Mess Me Up</x:v>
      </x:c>
      <x:c r="D89" s="11" t="str">
        <x:v>Infinity Falling - Mess Me Up</x:v>
      </x:c>
      <x:c r="E89" s="11" t="str">
        <x:v>Sarah Sprinz</x:v>
      </x:c>
      <x:c r="F89" s="11" t="str">
        <x:v>Official #BookTok Top 20</x:v>
      </x:c>
      <x:c r="G89" s="11" t="str">
        <x:v>Media Control &amp; TikTok</x:v>
      </x:c>
      <x:c r="H89" s="11" t="n">
        <x:v>202308</x:v>
      </x:c>
      <x:c r="I89" s="11" t="str">
        <x:v>Complete</x:v>
      </x:c>
      <x:c r="J89" s="11" t="str">
        <x:v>Yes</x:v>
      </x:c>
    </x:row>
    <x:row r="90">
      <x:c r="A90" s="11" t="str">
        <x:v>2023-08</x:v>
      </x:c>
      <x:c r="B90" s="11" t="n">
        <x:v>9</x:v>
      </x:c>
      <x:c r="C90" s="11" t="str">
        <x:v>Verity</x:v>
      </x:c>
      <x:c r="D90" s="11" t="str">
        <x:v>Verity</x:v>
      </x:c>
      <x:c r="E90" s="11" t="str">
        <x:v>Colleen Hoover</x:v>
      </x:c>
      <x:c r="F90" s="11" t="str">
        <x:v>Official #BookTok Top 20</x:v>
      </x:c>
      <x:c r="G90" s="11" t="str">
        <x:v>Media Control &amp; TikTok</x:v>
      </x:c>
      <x:c r="H90" s="11" t="n">
        <x:v>202308</x:v>
      </x:c>
      <x:c r="I90" s="11" t="str">
        <x:v>Complete</x:v>
      </x:c>
      <x:c r="J90" s="11" t="str">
        <x:v>Yes</x:v>
      </x:c>
    </x:row>
    <x:row r="91">
      <x:c r="A91" s="11" t="str">
        <x:v>2023-08</x:v>
      </x:c>
      <x:c r="B91" s="11" t="n">
        <x:v>10</x:v>
      </x:c>
      <x:c r="C91" s="11" t="str">
        <x:v>Nur noch ein einziges Mal</x:v>
      </x:c>
      <x:c r="D91" s="11" t="str">
        <x:v>Nur noch ein einziges Mal</x:v>
      </x:c>
      <x:c r="E91" s="11" t="str">
        <x:v>Colleen Hoover</x:v>
      </x:c>
      <x:c r="F91" s="11" t="str">
        <x:v>Official #BookTok Top 20</x:v>
      </x:c>
      <x:c r="G91" s="11" t="str">
        <x:v>Media Control &amp; TikTok</x:v>
      </x:c>
      <x:c r="H91" s="11" t="n">
        <x:v>202308</x:v>
      </x:c>
      <x:c r="I91" s="11" t="str">
        <x:v>Complete</x:v>
      </x:c>
      <x:c r="J91" s="11" t="str">
        <x:v>Yes</x:v>
      </x:c>
    </x:row>
    <x:row r="92">
      <x:c r="A92" s="11" t="str">
        <x:v>2023-08</x:v>
      </x:c>
      <x:c r="B92" s="11" t="n">
        <x:v>11</x:v>
      </x:c>
      <x:c r="C92" s="11" t="str">
        <x:v>Vergissmeinnicht - Was bisher verloren war</x:v>
      </x:c>
      <x:c r="D92" s="11" t="str">
        <x:v>Vergissmeinnicht - Was bisher verloren war</x:v>
      </x:c>
      <x:c r="E92" s="11" t="str">
        <x:v>Kerstin Gier</x:v>
      </x:c>
      <x:c r="F92" s="11" t="str">
        <x:v>Official #BookTok Top 20</x:v>
      </x:c>
      <x:c r="G92" s="11" t="str">
        <x:v>Media Control &amp; TikTok</x:v>
      </x:c>
      <x:c r="H92" s="11" t="n">
        <x:v>202308</x:v>
      </x:c>
      <x:c r="I92" s="11" t="str">
        <x:v>Complete</x:v>
      </x:c>
      <x:c r="J92" s="11" t="str">
        <x:v>Yes</x:v>
      </x:c>
    </x:row>
    <x:row r="93">
      <x:c r="A93" s="11" t="str">
        <x:v>2023-08</x:v>
      </x:c>
      <x:c r="B93" s="11" t="n">
        <x:v>12</x:v>
      </x:c>
      <x:c r="C93" s="11" t="str">
        <x:v>Bastards</x:v>
      </x:c>
      <x:c r="D93" s="11" t="str">
        <x:v>Bastards</x:v>
      </x:c>
      <x:c r="E93" s="11" t="str">
        <x:v>J. S. Wonda</x:v>
      </x:c>
      <x:c r="F93" s="11" t="str">
        <x:v>Official #BookTok Top 20</x:v>
      </x:c>
      <x:c r="G93" s="11" t="str">
        <x:v>Media Control &amp; TikTok</x:v>
      </x:c>
      <x:c r="H93" s="11" t="n">
        <x:v>202308</x:v>
      </x:c>
      <x:c r="I93" s="11" t="str">
        <x:v>Complete</x:v>
      </x:c>
      <x:c r="J93" s="11" t="str">
        <x:v>Yes</x:v>
      </x:c>
    </x:row>
    <x:row r="94">
      <x:c r="A94" s="11" t="str">
        <x:v>2023-08</x:v>
      </x:c>
      <x:c r="B94" s="11" t="n">
        <x:v>13</x:v>
      </x:c>
      <x:c r="C94" s="11" t="str">
        <x:v>WiccaCreed - Schuld &amp; Sünde</x:v>
      </x:c>
      <x:c r="D94" s="11" t="str">
        <x:v>WiccaCreed - Schuld &amp; Sünde</x:v>
      </x:c>
      <x:c r="E94" s="11" t="str">
        <x:v>Marah Woolf</x:v>
      </x:c>
      <x:c r="F94" s="11" t="str">
        <x:v>Official #BookTok Top 20</x:v>
      </x:c>
      <x:c r="G94" s="11" t="str">
        <x:v>Media Control &amp; TikTok</x:v>
      </x:c>
      <x:c r="H94" s="11" t="n">
        <x:v>202308</x:v>
      </x:c>
      <x:c r="I94" s="11" t="str">
        <x:v>Complete</x:v>
      </x:c>
      <x:c r="J94" s="11" t="str">
        <x:v>Yes</x:v>
      </x:c>
    </x:row>
    <x:row r="95">
      <x:c r="A95" s="11" t="str">
        <x:v>2023-08</x:v>
      </x:c>
      <x:c r="B95" s="11" t="n">
        <x:v>14</x:v>
      </x:c>
      <x:c r="C95" s="11" t="str">
        <x:v>101 Essays, die dein Leben verändern werden</x:v>
      </x:c>
      <x:c r="D95" s="11" t="str">
        <x:v>101 Essays, die dein Leben verändern werden</x:v>
      </x:c>
      <x:c r="E95" s="11" t="str">
        <x:v>Brianna Wiest</x:v>
      </x:c>
      <x:c r="F95" s="11" t="str">
        <x:v>Official #BookTok Top 20</x:v>
      </x:c>
      <x:c r="G95" s="11" t="str">
        <x:v>Media Control &amp; TikTok</x:v>
      </x:c>
      <x:c r="H95" s="11" t="n">
        <x:v>202308</x:v>
      </x:c>
      <x:c r="I95" s="11" t="str">
        <x:v>Complete</x:v>
      </x:c>
      <x:c r="J95" s="11" t="str">
        <x:v>Yes</x:v>
      </x:c>
    </x:row>
    <x:row r="96">
      <x:c r="A96" s="11" t="str">
        <x:v>2023-08</x:v>
      </x:c>
      <x:c r="B96" s="11" t="n">
        <x:v>15</x:v>
      </x:c>
      <x:c r="C96" s="11" t="str">
        <x:v>Very Bad Kings</x:v>
      </x:c>
      <x:c r="D96" s="11" t="str">
        <x:v>Very Bad Kings</x:v>
      </x:c>
      <x:c r="E96" s="11" t="str">
        <x:v>J. S. Wonda</x:v>
      </x:c>
      <x:c r="F96" s="11" t="str">
        <x:v>Official #BookTok Top 20</x:v>
      </x:c>
      <x:c r="G96" s="11" t="str">
        <x:v>Media Control &amp; TikTok</x:v>
      </x:c>
      <x:c r="H96" s="11" t="n">
        <x:v>202308</x:v>
      </x:c>
      <x:c r="I96" s="11" t="str">
        <x:v>Complete</x:v>
      </x:c>
      <x:c r="J96" s="11" t="str">
        <x:v>Yes</x:v>
      </x:c>
    </x:row>
    <x:row r="97">
      <x:c r="A97" s="11" t="str">
        <x:v>2023-08</x:v>
      </x:c>
      <x:c r="B97" s="11" t="n">
        <x:v>16</x:v>
      </x:c>
      <x:c r="C97" s="11" t="str">
        <x:v>Twisted Lies</x:v>
      </x:c>
      <x:c r="D97" s="11" t="str">
        <x:v>Twisted Lies</x:v>
      </x:c>
      <x:c r="E97" s="11" t="str">
        <x:v>Ana Huang</x:v>
      </x:c>
      <x:c r="F97" s="11" t="str">
        <x:v>Official #BookTok Top 20</x:v>
      </x:c>
      <x:c r="G97" s="11" t="str">
        <x:v>Media Control &amp; TikTok</x:v>
      </x:c>
      <x:c r="H97" s="11" t="n">
        <x:v>202308</x:v>
      </x:c>
      <x:c r="I97" s="11" t="str">
        <x:v>Complete</x:v>
      </x:c>
      <x:c r="J97" s="11" t="str">
        <x:v>Yes</x:v>
      </x:c>
    </x:row>
    <x:row r="98">
      <x:c r="A98" s="11" t="str">
        <x:v>2023-08</x:v>
      </x:c>
      <x:c r="B98" s="11" t="n">
        <x:v>17</x:v>
      </x:c>
      <x:c r="C98" s="11" t="str">
        <x:v>Vergissmeinnicht - Was man bei Licht nicht sehen kann</x:v>
      </x:c>
      <x:c r="D98" s="11" t="str">
        <x:v>Vergissmeinnicht - Was man bei Licht nicht sehen kann</x:v>
      </x:c>
      <x:c r="E98" s="11" t="str">
        <x:v>Kerstin Gier</x:v>
      </x:c>
      <x:c r="F98" s="11" t="str">
        <x:v>Official #BookTok Top 20</x:v>
      </x:c>
      <x:c r="G98" s="11" t="str">
        <x:v>Media Control &amp; TikTok</x:v>
      </x:c>
      <x:c r="H98" s="11" t="n">
        <x:v>202308</x:v>
      </x:c>
      <x:c r="I98" s="11" t="str">
        <x:v>Complete</x:v>
      </x:c>
      <x:c r="J98" s="11" t="str">
        <x:v>Yes</x:v>
      </x:c>
    </x:row>
    <x:row r="99">
      <x:c r="A99" s="11" t="str">
        <x:v>2023-08</x:v>
      </x:c>
      <x:c r="B99" s="11" t="n">
        <x:v>18</x:v>
      </x:c>
      <x:c r="C99" s="11" t="str">
        <x:v>If he had been with me</x:v>
      </x:c>
      <x:c r="D99" s="11" t="str">
        <x:v>If he had been with me</x:v>
      </x:c>
      <x:c r="E99" s="11" t="str">
        <x:v>Laura Nowlin</x:v>
      </x:c>
      <x:c r="F99" s="11" t="str">
        <x:v>Official #BookTok Top 20</x:v>
      </x:c>
      <x:c r="G99" s="11" t="str">
        <x:v>Media Control &amp; TikTok</x:v>
      </x:c>
      <x:c r="H99" s="11" t="n">
        <x:v>202308</x:v>
      </x:c>
      <x:c r="I99" s="11" t="str">
        <x:v>Complete</x:v>
      </x:c>
      <x:c r="J99" s="11" t="str">
        <x:v>Yes</x:v>
      </x:c>
    </x:row>
    <x:row r="100">
      <x:c r="A100" s="11" t="str">
        <x:v>2023-08</x:v>
      </x:c>
      <x:c r="B100" s="11" t="n">
        <x:v>19</x:v>
      </x:c>
      <x:c r="C100" s="11" t="str">
        <x:v>The Unhoneymooners - Sie können sich nicht ausstehen ...</x:v>
      </x:c>
      <x:c r="D100" s="11" t="str">
        <x:v>The Unhoneymooners - Sie können sich nicht ausstehen ...</x:v>
      </x:c>
      <x:c r="E100" s="11" t="str">
        <x:v>Christina Lauren</x:v>
      </x:c>
      <x:c r="F100" s="11" t="str">
        <x:v>Official #BookTok Top 20</x:v>
      </x:c>
      <x:c r="G100" s="11" t="str">
        <x:v>Media Control &amp; TikTok</x:v>
      </x:c>
      <x:c r="H100" s="11" t="n">
        <x:v>202308</x:v>
      </x:c>
      <x:c r="I100" s="11" t="str">
        <x:v>Complete</x:v>
      </x:c>
      <x:c r="J100" s="11" t="str">
        <x:v>Yes</x:v>
      </x:c>
    </x:row>
    <x:row r="101">
      <x:c r="A101" s="11" t="str">
        <x:v>2023-08</x:v>
      </x:c>
      <x:c r="B101" s="11" t="n">
        <x:v>20</x:v>
      </x:c>
      <x:c r="C101" s="11" t="str">
        <x:v>Twisted Hate</x:v>
      </x:c>
      <x:c r="D101" s="11" t="str">
        <x:v>Twisted Hate</x:v>
      </x:c>
      <x:c r="E101" s="11" t="str">
        <x:v>Ana Huang</x:v>
      </x:c>
      <x:c r="F101" s="11" t="str">
        <x:v>Official #BookTok Top 20</x:v>
      </x:c>
      <x:c r="G101" s="11" t="str">
        <x:v>Media Control &amp; TikTok</x:v>
      </x:c>
      <x:c r="H101" s="11" t="n">
        <x:v>202308</x:v>
      </x:c>
      <x:c r="I101" s="11" t="str">
        <x:v>Complete</x:v>
      </x:c>
      <x:c r="J101" s="11" t="str">
        <x:v>Yes</x:v>
      </x:c>
    </x:row>
    <x:row r="102">
      <x:c r="A102" s="11" t="str">
        <x:v>2023-09</x:v>
      </x:c>
      <x:c r="B102" s="11" t="n">
        <x:v>1</x:v>
      </x:c>
      <x:c r="C102" s="11" t="str">
        <x:v>It starts with us - Nur noch einmal und für immer</x:v>
      </x:c>
      <x:c r="D102" s="11" t="str">
        <x:v>It starts with us - Nur noch einmal und für immer</x:v>
      </x:c>
      <x:c r="E102" s="11" t="str">
        <x:v>Colleen Hoover</x:v>
      </x:c>
      <x:c r="F102" s="11" t="str">
        <x:v>Official #BookTok Top 20</x:v>
      </x:c>
      <x:c r="G102" s="11" t="str">
        <x:v>Media Control &amp; TikTok</x:v>
      </x:c>
      <x:c r="H102" s="11" t="n">
        <x:v>202309</x:v>
      </x:c>
      <x:c r="I102" s="11" t="str">
        <x:v>Complete</x:v>
      </x:c>
      <x:c r="J102" s="11" t="str">
        <x:v>Yes</x:v>
      </x:c>
    </x:row>
    <x:row r="103">
      <x:c r="A103" s="11" t="str">
        <x:v>2023-09</x:v>
      </x:c>
      <x:c r="B103" s="11" t="n">
        <x:v>2</x:v>
      </x:c>
      <x:c r="C103" s="11" t="str">
        <x:v>Fourth Wing - Flammengeküsst</x:v>
      </x:c>
      <x:c r="D103" s="11" t="str">
        <x:v>Fourth Wing - Flammengeküsst</x:v>
      </x:c>
      <x:c r="E103" s="11" t="str">
        <x:v>Rebecca Yarros</x:v>
      </x:c>
      <x:c r="F103" s="11" t="str">
        <x:v>Official #BookTok Top 20</x:v>
      </x:c>
      <x:c r="G103" s="11" t="str">
        <x:v>Media Control &amp; TikTok</x:v>
      </x:c>
      <x:c r="H103" s="11" t="n">
        <x:v>202309</x:v>
      </x:c>
      <x:c r="I103" s="11" t="str">
        <x:v>Complete</x:v>
      </x:c>
      <x:c r="J103" s="11" t="str">
        <x:v>Yes</x:v>
      </x:c>
    </x:row>
    <x:row r="104">
      <x:c r="A104" s="11" t="str">
        <x:v>2023-09</x:v>
      </x:c>
      <x:c r="B104" s="11" t="n">
        <x:v>3</x:v>
      </x:c>
      <x:c r="C104" s="11" t="str">
        <x:v>Icebreaker</x:v>
      </x:c>
      <x:c r="D104" s="11" t="str">
        <x:v>Icebreaker</x:v>
      </x:c>
      <x:c r="E104" s="11" t="str">
        <x:v>Hannah Grace</x:v>
      </x:c>
      <x:c r="F104" s="11" t="str">
        <x:v>Official #BookTok Top 20</x:v>
      </x:c>
      <x:c r="G104" s="11" t="str">
        <x:v>Media Control &amp; TikTok</x:v>
      </x:c>
      <x:c r="H104" s="11" t="n">
        <x:v>202309</x:v>
      </x:c>
      <x:c r="I104" s="11" t="str">
        <x:v>Complete</x:v>
      </x:c>
      <x:c r="J104" s="11" t="str">
        <x:v>Yes</x:v>
      </x:c>
    </x:row>
    <x:row r="105">
      <x:c r="A105" s="11" t="str">
        <x:v>2023-09</x:v>
      </x:c>
      <x:c r="B105" s="11" t="n">
        <x:v>4</x:v>
      </x:c>
      <x:c r="C105" s="11" t="str">
        <x:v>Das Kind in dir muss Heimat finden</x:v>
      </x:c>
      <x:c r="D105" s="11" t="str">
        <x:v>Das Kind in dir muss Heimat finden</x:v>
      </x:c>
      <x:c r="E105" s="11" t="str">
        <x:v>Stefanie Stahl</x:v>
      </x:c>
      <x:c r="F105" s="11" t="str">
        <x:v>Official #BookTok Top 20</x:v>
      </x:c>
      <x:c r="G105" s="11" t="str">
        <x:v>Media Control &amp; TikTok</x:v>
      </x:c>
      <x:c r="H105" s="11" t="n">
        <x:v>202309</x:v>
      </x:c>
      <x:c r="I105" s="11" t="str">
        <x:v>Complete</x:v>
      </x:c>
      <x:c r="J105" s="11" t="str">
        <x:v>Yes</x:v>
      </x:c>
    </x:row>
    <x:row r="106">
      <x:c r="A106" s="11" t="str">
        <x:v>2023-09</x:v>
      </x:c>
      <x:c r="B106" s="11" t="n">
        <x:v>5</x:v>
      </x:c>
      <x:c r="C106" s="11" t="str">
        <x:v>Nur noch ein einziges Mal</x:v>
      </x:c>
      <x:c r="D106" s="11" t="str">
        <x:v>Nur noch ein einziges Mal</x:v>
      </x:c>
      <x:c r="E106" s="11" t="str">
        <x:v>Colleen Hoover</x:v>
      </x:c>
      <x:c r="F106" s="11" t="str">
        <x:v>Official #BookTok Top 20</x:v>
      </x:c>
      <x:c r="G106" s="11" t="str">
        <x:v>Media Control &amp; TikTok</x:v>
      </x:c>
      <x:c r="H106" s="11" t="n">
        <x:v>202309</x:v>
      </x:c>
      <x:c r="I106" s="11" t="str">
        <x:v>Complete</x:v>
      </x:c>
      <x:c r="J106" s="11" t="str">
        <x:v>Yes</x:v>
      </x:c>
    </x:row>
    <x:row r="107">
      <x:c r="A107" s="11" t="str">
        <x:v>2023-09</x:v>
      </x:c>
      <x:c r="B107" s="11" t="n">
        <x:v>6</x:v>
      </x:c>
      <x:c r="C107" s="11" t="str">
        <x:v>Die 1%-Methode - Minimale Veränderung, maximale Wirkung</x:v>
      </x:c>
      <x:c r="D107" s="11" t="str">
        <x:v>Die 1%-Methode - Minimale Veränderung, maximale Wirkung</x:v>
      </x:c>
      <x:c r="E107" s="11" t="str">
        <x:v>James Clear</x:v>
      </x:c>
      <x:c r="F107" s="11" t="str">
        <x:v>Official #BookTok Top 20</x:v>
      </x:c>
      <x:c r="G107" s="11" t="str">
        <x:v>Media Control &amp; TikTok</x:v>
      </x:c>
      <x:c r="H107" s="11" t="n">
        <x:v>202309</x:v>
      </x:c>
      <x:c r="I107" s="11" t="str">
        <x:v>Complete</x:v>
      </x:c>
      <x:c r="J107" s="11" t="str">
        <x:v>Yes</x:v>
      </x:c>
    </x:row>
    <x:row r="108">
      <x:c r="A108" s="11" t="str">
        <x:v>2023-09</x:v>
      </x:c>
      <x:c r="B108" s="11" t="n">
        <x:v>7</x:v>
      </x:c>
      <x:c r="C108" s="11" t="str">
        <x:v>Verity</x:v>
      </x:c>
      <x:c r="D108" s="11" t="str">
        <x:v>Verity</x:v>
      </x:c>
      <x:c r="E108" s="11" t="str">
        <x:v>Colleen Hoover</x:v>
      </x:c>
      <x:c r="F108" s="11" t="str">
        <x:v>Official #BookTok Top 20</x:v>
      </x:c>
      <x:c r="G108" s="11" t="str">
        <x:v>Media Control &amp; TikTok</x:v>
      </x:c>
      <x:c r="H108" s="11" t="n">
        <x:v>202309</x:v>
      </x:c>
      <x:c r="I108" s="11" t="str">
        <x:v>Complete</x:v>
      </x:c>
      <x:c r="J108" s="11" t="str">
        <x:v>Yes</x:v>
      </x:c>
    </x:row>
    <x:row r="109">
      <x:c r="A109" s="11" t="str">
        <x:v>2023-09</x:v>
      </x:c>
      <x:c r="B109" s="11" t="n">
        <x:v>8</x:v>
      </x:c>
      <x:c r="C109" s="11" t="str">
        <x:v>Die Mitternachtsbibliothek</x:v>
      </x:c>
      <x:c r="D109" s="11" t="str">
        <x:v>Die Mitternachtsbibliothek</x:v>
      </x:c>
      <x:c r="E109" s="11" t="str">
        <x:v>Matt Haig</x:v>
      </x:c>
      <x:c r="F109" s="11" t="str">
        <x:v>Official #BookTok Top 20</x:v>
      </x:c>
      <x:c r="G109" s="11" t="str">
        <x:v>Media Control &amp; TikTok</x:v>
      </x:c>
      <x:c r="H109" s="11" t="n">
        <x:v>202309</x:v>
      </x:c>
      <x:c r="I109" s="11" t="str">
        <x:v>Complete</x:v>
      </x:c>
      <x:c r="J109" s="11" t="str">
        <x:v>Yes</x:v>
      </x:c>
    </x:row>
    <x:row r="110">
      <x:c r="A110" s="11" t="str">
        <x:v>2023-09</x:v>
      </x:c>
      <x:c r="B110" s="11" t="n">
        <x:v>9</x:v>
      </x:c>
      <x:c r="C110" s="11" t="str">
        <x:v>Skogen Dynasty (Crumbling Hearts, Band 1)</x:v>
      </x:c>
      <x:c r="D110" s="11" t="str">
        <x:v>Skogen Dynasty (Crumbling Hearts, Band 1)</x:v>
      </x:c>
      <x:c r="E110" s="11" t="str">
        <x:v>Carolin Wahl</x:v>
      </x:c>
      <x:c r="F110" s="11" t="str">
        <x:v>Official #BookTok Top 20</x:v>
      </x:c>
      <x:c r="G110" s="11" t="str">
        <x:v>Media Control &amp; TikTok</x:v>
      </x:c>
      <x:c r="H110" s="11" t="n">
        <x:v>202309</x:v>
      </x:c>
      <x:c r="I110" s="11" t="str">
        <x:v>Complete</x:v>
      </x:c>
      <x:c r="J110" s="11" t="str">
        <x:v>Yes</x:v>
      </x:c>
    </x:row>
    <x:row r="111">
      <x:c r="A111" s="11" t="str">
        <x:v>2023-09</x:v>
      </x:c>
      <x:c r="B111" s="11" t="n">
        <x:v>10</x:v>
      </x:c>
      <x:c r="C111" s="11" t="str">
        <x:v>Bastards</x:v>
      </x:c>
      <x:c r="D111" s="11" t="str">
        <x:v>Bastards</x:v>
      </x:c>
      <x:c r="E111" s="11" t="str">
        <x:v>J. S. Wonda</x:v>
      </x:c>
      <x:c r="F111" s="11" t="str">
        <x:v>Official #BookTok Top 20</x:v>
      </x:c>
      <x:c r="G111" s="11" t="str">
        <x:v>Media Control &amp; TikTok</x:v>
      </x:c>
      <x:c r="H111" s="11" t="n">
        <x:v>202309</x:v>
      </x:c>
      <x:c r="I111" s="11" t="str">
        <x:v>Complete</x:v>
      </x:c>
      <x:c r="J111" s="11" t="str">
        <x:v>Yes</x:v>
      </x:c>
    </x:row>
    <x:row r="112">
      <x:c r="A112" s="11" t="str">
        <x:v>2023-09</x:v>
      </x:c>
      <x:c r="B112" s="11" t="n">
        <x:v>11</x:v>
      </x:c>
      <x:c r="C112" s="11" t="str">
        <x:v>22 Bahnen</x:v>
      </x:c>
      <x:c r="D112" s="11" t="str">
        <x:v>22 Bahnen</x:v>
      </x:c>
      <x:c r="E112" s="11" t="str">
        <x:v>Caroline Wahl</x:v>
      </x:c>
      <x:c r="F112" s="11" t="str">
        <x:v>Official #BookTok Top 20</x:v>
      </x:c>
      <x:c r="G112" s="11" t="str">
        <x:v>Media Control &amp; TikTok</x:v>
      </x:c>
      <x:c r="H112" s="11" t="n">
        <x:v>202309</x:v>
      </x:c>
      <x:c r="I112" s="11" t="str">
        <x:v>Complete</x:v>
      </x:c>
      <x:c r="J112" s="11" t="str">
        <x:v>Yes</x:v>
      </x:c>
    </x:row>
    <x:row r="113">
      <x:c r="A113" s="11" t="str">
        <x:v>2023-09</x:v>
      </x:c>
      <x:c r="B113" s="11" t="n">
        <x:v>12</x:v>
      </x:c>
      <x:c r="C113" s="11" t="str">
        <x:v>101 Essays, die dein Leben verändern werden</x:v>
      </x:c>
      <x:c r="D113" s="11" t="str">
        <x:v>101 Essays, die dein Leben verändern werden</x:v>
      </x:c>
      <x:c r="E113" s="11" t="str">
        <x:v>Brianna Wiest</x:v>
      </x:c>
      <x:c r="F113" s="11" t="str">
        <x:v>Official #BookTok Top 20</x:v>
      </x:c>
      <x:c r="G113" s="11" t="str">
        <x:v>Media Control &amp; TikTok</x:v>
      </x:c>
      <x:c r="H113" s="11" t="n">
        <x:v>202309</x:v>
      </x:c>
      <x:c r="I113" s="11" t="str">
        <x:v>Complete</x:v>
      </x:c>
      <x:c r="J113" s="11" t="str">
        <x:v>Yes</x:v>
      </x:c>
    </x:row>
    <x:row r="114">
      <x:c r="A114" s="11" t="str">
        <x:v>2023-09</x:v>
      </x:c>
      <x:c r="B114" s="11" t="n">
        <x:v>13</x:v>
      </x:c>
      <x:c r="C114" s="11" t="str">
        <x:v>Twisted Lies</x:v>
      </x:c>
      <x:c r="D114" s="11" t="str">
        <x:v>Twisted Lies</x:v>
      </x:c>
      <x:c r="E114" s="11" t="str">
        <x:v>Ana Huang</x:v>
      </x:c>
      <x:c r="F114" s="11" t="str">
        <x:v>Official #BookTok Top 20</x:v>
      </x:c>
      <x:c r="G114" s="11" t="str">
        <x:v>Media Control &amp; TikTok</x:v>
      </x:c>
      <x:c r="H114" s="11" t="n">
        <x:v>202309</x:v>
      </x:c>
      <x:c r="I114" s="11" t="str">
        <x:v>Complete</x:v>
      </x:c>
      <x:c r="J114" s="11" t="str">
        <x:v>Yes</x:v>
      </x:c>
    </x:row>
    <x:row r="115">
      <x:c r="A115" s="11" t="str">
        <x:v>2023-09</x:v>
      </x:c>
      <x:c r="B115" s="11" t="n">
        <x:v>14</x:v>
      </x:c>
      <x:c r="C115" s="11" t="str">
        <x:v>Hard Land</x:v>
      </x:c>
      <x:c r="D115" s="11" t="str">
        <x:v>Hard Land</x:v>
      </x:c>
      <x:c r="E115" s="11" t="str">
        <x:v>Benedict Wells</x:v>
      </x:c>
      <x:c r="F115" s="11" t="str">
        <x:v>Official #BookTok Top 20</x:v>
      </x:c>
      <x:c r="G115" s="11" t="str">
        <x:v>Media Control &amp; TikTok</x:v>
      </x:c>
      <x:c r="H115" s="11" t="n">
        <x:v>202309</x:v>
      </x:c>
      <x:c r="I115" s="11" t="str">
        <x:v>Complete</x:v>
      </x:c>
      <x:c r="J115" s="11" t="str">
        <x:v>Yes</x:v>
      </x:c>
    </x:row>
    <x:row r="116">
      <x:c r="A116" s="11" t="str">
        <x:v>2023-09</x:v>
      </x:c>
      <x:c r="B116" s="11" t="n">
        <x:v>15</x:v>
      </x:c>
      <x:c r="C116" s="11" t="str">
        <x:v>The Brothers Hawthorne</x:v>
      </x:c>
      <x:c r="D116" s="11" t="str">
        <x:v>The Brothers Hawthorne</x:v>
      </x:c>
      <x:c r="E116" s="11" t="str">
        <x:v>Jennifer Lynn Barnes</x:v>
      </x:c>
      <x:c r="F116" s="11" t="str">
        <x:v>Official #BookTok Top 20</x:v>
      </x:c>
      <x:c r="G116" s="11" t="str">
        <x:v>Media Control &amp; TikTok</x:v>
      </x:c>
      <x:c r="H116" s="11" t="n">
        <x:v>202309</x:v>
      </x:c>
      <x:c r="I116" s="11" t="str">
        <x:v>Complete</x:v>
      </x:c>
      <x:c r="J116" s="11" t="str">
        <x:v>Yes</x:v>
      </x:c>
    </x:row>
    <x:row r="117">
      <x:c r="A117" s="11" t="str">
        <x:v>2023-09</x:v>
      </x:c>
      <x:c r="B117" s="11" t="n">
        <x:v>16</x:v>
      </x:c>
      <x:c r="C117" s="11" t="str">
        <x:v>Das Buch, von dem du dir wünschst, deine Eltern hätten es gelesen</x:v>
      </x:c>
      <x:c r="D117" s="11" t="str">
        <x:v>Das Buch, von dem du dir wünschst, deine Eltern hätten es gelesen</x:v>
      </x:c>
      <x:c r="E117" s="11" t="str">
        <x:v>Philippa Perry</x:v>
      </x:c>
      <x:c r="F117" s="11" t="str">
        <x:v>Official #BookTok Top 20</x:v>
      </x:c>
      <x:c r="G117" s="11" t="str">
        <x:v>Media Control &amp; TikTok</x:v>
      </x:c>
      <x:c r="H117" s="11" t="n">
        <x:v>202309</x:v>
      </x:c>
      <x:c r="I117" s="11" t="str">
        <x:v>Complete</x:v>
      </x:c>
      <x:c r="J117" s="11" t="str">
        <x:v>Yes</x:v>
      </x:c>
    </x:row>
    <x:row r="118">
      <x:c r="A118" s="11" t="str">
        <x:v>2023-09</x:v>
      </x:c>
      <x:c r="B118" s="11" t="n">
        <x:v>17</x:v>
      </x:c>
      <x:c r="C118" s="11" t="str">
        <x:v>Dreamland Billionaires - Terms and Conditions</x:v>
      </x:c>
      <x:c r="D118" s="11" t="str">
        <x:v>Dreamland Billionaires - Terms and Conditions</x:v>
      </x:c>
      <x:c r="E118" s="11" t="str">
        <x:v>Lauren Asher</x:v>
      </x:c>
      <x:c r="F118" s="11" t="str">
        <x:v>Official #BookTok Top 20</x:v>
      </x:c>
      <x:c r="G118" s="11" t="str">
        <x:v>Media Control &amp; TikTok</x:v>
      </x:c>
      <x:c r="H118" s="11" t="n">
        <x:v>202309</x:v>
      </x:c>
      <x:c r="I118" s="11" t="str">
        <x:v>Complete</x:v>
      </x:c>
      <x:c r="J118" s="11" t="str">
        <x:v>Yes</x:v>
      </x:c>
    </x:row>
    <x:row r="119">
      <x:c r="A119" s="11" t="str">
        <x:v>2023-09</x:v>
      </x:c>
      <x:c r="B119" s="11" t="n">
        <x:v>18</x:v>
      </x:c>
      <x:c r="C119" s="11" t="str">
        <x:v>Twisted Dreams</x:v>
      </x:c>
      <x:c r="D119" s="11" t="str">
        <x:v>Twisted Dreams</x:v>
      </x:c>
      <x:c r="E119" s="11" t="str">
        <x:v>Ana Huang</x:v>
      </x:c>
      <x:c r="F119" s="11" t="str">
        <x:v>Official #BookTok Top 20</x:v>
      </x:c>
      <x:c r="G119" s="11" t="str">
        <x:v>Media Control &amp; TikTok</x:v>
      </x:c>
      <x:c r="H119" s="11" t="n">
        <x:v>202309</x:v>
      </x:c>
      <x:c r="I119" s="11" t="str">
        <x:v>Complete</x:v>
      </x:c>
      <x:c r="J119" s="11" t="str">
        <x:v>Yes</x:v>
      </x:c>
    </x:row>
    <x:row r="120">
      <x:c r="A120" s="11" t="str">
        <x:v>2023-09</x:v>
      </x:c>
      <x:c r="B120" s="11" t="n">
        <x:v>19</x:v>
      </x:c>
      <x:c r="C120" s="11" t="str">
        <x:v>Vergissmeinnicht - Was bisher verloren war</x:v>
      </x:c>
      <x:c r="D120" s="11" t="str">
        <x:v>Vergissmeinnicht - Was bisher verloren war</x:v>
      </x:c>
      <x:c r="E120" s="11" t="str">
        <x:v>Kerstin Gier</x:v>
      </x:c>
      <x:c r="F120" s="11" t="str">
        <x:v>Official #BookTok Top 20</x:v>
      </x:c>
      <x:c r="G120" s="11" t="str">
        <x:v>Media Control &amp; TikTok</x:v>
      </x:c>
      <x:c r="H120" s="11" t="n">
        <x:v>202309</x:v>
      </x:c>
      <x:c r="I120" s="11" t="str">
        <x:v>Complete</x:v>
      </x:c>
      <x:c r="J120" s="11" t="str">
        <x:v>Yes</x:v>
      </x:c>
    </x:row>
    <x:row r="121">
      <x:c r="A121" s="11" t="str">
        <x:v>2023-09</x:v>
      </x:c>
      <x:c r="B121" s="11" t="n">
        <x:v>20</x:v>
      </x:c>
      <x:c r="C121" s="11" t="str">
        <x:v>Birthday Girl</x:v>
      </x:c>
      <x:c r="D121" s="11" t="str">
        <x:v>Birthday Girl</x:v>
      </x:c>
      <x:c r="E121" s="11" t="str">
        <x:v>Penelope Douglas</x:v>
      </x:c>
      <x:c r="F121" s="11" t="str">
        <x:v>Official #BookTok Top 20</x:v>
      </x:c>
      <x:c r="G121" s="11" t="str">
        <x:v>Media Control &amp; TikTok</x:v>
      </x:c>
      <x:c r="H121" s="11" t="n">
        <x:v>202309</x:v>
      </x:c>
      <x:c r="I121" s="11" t="str">
        <x:v>Complete</x:v>
      </x:c>
      <x:c r="J121" s="11" t="str">
        <x:v>Yes</x:v>
      </x:c>
    </x:row>
    <x:row r="122">
      <x:c r="A122" s="11" t="str">
        <x:v>2023-10</x:v>
      </x:c>
      <x:c r="B122" s="11" t="n">
        <x:v>1</x:v>
      </x:c>
      <x:c r="C122" s="11" t="str">
        <x:v>Tintenwelt 4. Die Farbe der Rache</x:v>
      </x:c>
      <x:c r="D122" s="11" t="str">
        <x:v>Tintenwelt 4. Die Farbe der Rache</x:v>
      </x:c>
      <x:c r="E122" s="11" t="str">
        <x:v>Cornelia Funke</x:v>
      </x:c>
      <x:c r="F122" s="11" t="str">
        <x:v>Official #BookTok Top 20</x:v>
      </x:c>
      <x:c r="G122" s="11" t="str">
        <x:v>Media Control &amp; TikTok</x:v>
      </x:c>
      <x:c r="H122" s="11" t="n">
        <x:v>202310</x:v>
      </x:c>
      <x:c r="I122" s="11" t="str">
        <x:v>Complete</x:v>
      </x:c>
      <x:c r="J122" s="11" t="str">
        <x:v>Yes</x:v>
      </x:c>
    </x:row>
    <x:row r="123">
      <x:c r="A123" s="11" t="str">
        <x:v>2023-10</x:v>
      </x:c>
      <x:c r="B123" s="11" t="n">
        <x:v>2</x:v>
      </x:c>
      <x:c r="C123" s="11" t="str">
        <x:v>It starts with us - Nur noch einmal und für immer</x:v>
      </x:c>
      <x:c r="D123" s="11" t="str">
        <x:v>It starts with us - Nur noch einmal und für immer</x:v>
      </x:c>
      <x:c r="E123" s="11" t="str">
        <x:v>Colleen Hoover</x:v>
      </x:c>
      <x:c r="F123" s="11" t="str">
        <x:v>Official #BookTok Top 20</x:v>
      </x:c>
      <x:c r="G123" s="11" t="str">
        <x:v>Media Control &amp; TikTok</x:v>
      </x:c>
      <x:c r="H123" s="11" t="n">
        <x:v>202310</x:v>
      </x:c>
      <x:c r="I123" s="11" t="str">
        <x:v>Complete</x:v>
      </x:c>
      <x:c r="J123" s="11" t="str">
        <x:v>Yes</x:v>
      </x:c>
    </x:row>
    <x:row r="124">
      <x:c r="A124" s="11" t="str">
        <x:v>2023-10</x:v>
      </x:c>
      <x:c r="B124" s="11" t="n">
        <x:v>3</x:v>
      </x:c>
      <x:c r="C124" s="11" t="str">
        <x:v>Verity</x:v>
      </x:c>
      <x:c r="D124" s="11" t="str">
        <x:v>Verity</x:v>
      </x:c>
      <x:c r="E124" s="11" t="str">
        <x:v>Colleen Hoover</x:v>
      </x:c>
      <x:c r="F124" s="11" t="str">
        <x:v>Official #BookTok Top 20</x:v>
      </x:c>
      <x:c r="G124" s="11" t="str">
        <x:v>Media Control &amp; TikTok</x:v>
      </x:c>
      <x:c r="H124" s="11" t="n">
        <x:v>202310</x:v>
      </x:c>
      <x:c r="I124" s="11" t="str">
        <x:v>Complete</x:v>
      </x:c>
      <x:c r="J124" s="11" t="str">
        <x:v>Yes</x:v>
      </x:c>
    </x:row>
    <x:row r="125">
      <x:c r="A125" s="11" t="str">
        <x:v>2023-10</x:v>
      </x:c>
      <x:c r="B125" s="11" t="n">
        <x:v>4</x:v>
      </x:c>
      <x:c r="C125" s="11" t="str">
        <x:v>Fourth Wing - Flammengeküsst</x:v>
      </x:c>
      <x:c r="D125" s="11" t="str">
        <x:v>Fourth Wing - Flammengeküsst</x:v>
      </x:c>
      <x:c r="E125" s="11" t="str">
        <x:v>Rebecca Yarros</x:v>
      </x:c>
      <x:c r="F125" s="11" t="str">
        <x:v>Official #BookTok Top 20</x:v>
      </x:c>
      <x:c r="G125" s="11" t="str">
        <x:v>Media Control &amp; TikTok</x:v>
      </x:c>
      <x:c r="H125" s="11" t="n">
        <x:v>202310</x:v>
      </x:c>
      <x:c r="I125" s="11" t="str">
        <x:v>Complete</x:v>
      </x:c>
      <x:c r="J125" s="11" t="str">
        <x:v>Yes</x:v>
      </x:c>
    </x:row>
    <x:row r="126">
      <x:c r="A126" s="11" t="str">
        <x:v>2023-10</x:v>
      </x:c>
      <x:c r="B126" s="11" t="n">
        <x:v>5</x:v>
      </x:c>
      <x:c r="C126" s="11" t="str">
        <x:v>Die 1%-Methode - Minimale Veränderung, maximale Wirkung</x:v>
      </x:c>
      <x:c r="D126" s="11" t="str">
        <x:v>Die 1%-Methode - Minimale Veränderung, maximale Wirkung</x:v>
      </x:c>
      <x:c r="E126" s="11" t="str">
        <x:v>James Clear</x:v>
      </x:c>
      <x:c r="F126" s="11" t="str">
        <x:v>Official #BookTok Top 20</x:v>
      </x:c>
      <x:c r="G126" s="11" t="str">
        <x:v>Media Control &amp; TikTok</x:v>
      </x:c>
      <x:c r="H126" s="11" t="n">
        <x:v>202310</x:v>
      </x:c>
      <x:c r="I126" s="11" t="str">
        <x:v>Complete</x:v>
      </x:c>
      <x:c r="J126" s="11" t="str">
        <x:v>Yes</x:v>
      </x:c>
    </x:row>
    <x:row r="127">
      <x:c r="A127" s="11" t="str">
        <x:v>2023-10</x:v>
      </x:c>
      <x:c r="B127" s="11" t="n">
        <x:v>6</x:v>
      </x:c>
      <x:c r="C127" s="11" t="str">
        <x:v>Icebreaker</x:v>
      </x:c>
      <x:c r="D127" s="11" t="str">
        <x:v>Icebreaker</x:v>
      </x:c>
      <x:c r="E127" s="11" t="str">
        <x:v>Hannah Grace</x:v>
      </x:c>
      <x:c r="F127" s="11" t="str">
        <x:v>Official #BookTok Top 20</x:v>
      </x:c>
      <x:c r="G127" s="11" t="str">
        <x:v>Media Control &amp; TikTok</x:v>
      </x:c>
      <x:c r="H127" s="11" t="n">
        <x:v>202310</x:v>
      </x:c>
      <x:c r="I127" s="11" t="str">
        <x:v>Complete</x:v>
      </x:c>
      <x:c r="J127" s="11" t="str">
        <x:v>Yes</x:v>
      </x:c>
    </x:row>
    <x:row r="128">
      <x:c r="A128" s="11" t="str">
        <x:v>2023-10</x:v>
      </x:c>
      <x:c r="B128" s="11" t="n">
        <x:v>7</x:v>
      </x:c>
      <x:c r="C128" s="11" t="str">
        <x:v>Das Kind in dir muss Heimat finden</x:v>
      </x:c>
      <x:c r="D128" s="11" t="str">
        <x:v>Das Kind in dir muss Heimat finden</x:v>
      </x:c>
      <x:c r="E128" s="11" t="str">
        <x:v>Stefanie Stahl</x:v>
      </x:c>
      <x:c r="F128" s="11" t="str">
        <x:v>Official #BookTok Top 20</x:v>
      </x:c>
      <x:c r="G128" s="11" t="str">
        <x:v>Media Control &amp; TikTok</x:v>
      </x:c>
      <x:c r="H128" s="11" t="n">
        <x:v>202310</x:v>
      </x:c>
      <x:c r="I128" s="11" t="str">
        <x:v>Complete</x:v>
      </x:c>
      <x:c r="J128" s="11" t="str">
        <x:v>Yes</x:v>
      </x:c>
    </x:row>
    <x:row r="129">
      <x:c r="A129" s="11" t="str">
        <x:v>2023-10</x:v>
      </x:c>
      <x:c r="B129" s="11" t="n">
        <x:v>8</x:v>
      </x:c>
      <x:c r="C129" s="11" t="str">
        <x:v>Die Mitternachtsbibliothek</x:v>
      </x:c>
      <x:c r="D129" s="11" t="str">
        <x:v>Die Mitternachtsbibliothek</x:v>
      </x:c>
      <x:c r="E129" s="11" t="str">
        <x:v>Matt Haig</x:v>
      </x:c>
      <x:c r="F129" s="11" t="str">
        <x:v>Official #BookTok Top 20</x:v>
      </x:c>
      <x:c r="G129" s="11" t="str">
        <x:v>Media Control &amp; TikTok</x:v>
      </x:c>
      <x:c r="H129" s="11" t="n">
        <x:v>202310</x:v>
      </x:c>
      <x:c r="I129" s="11" t="str">
        <x:v>Complete</x:v>
      </x:c>
      <x:c r="J129" s="11" t="str">
        <x:v>Yes</x:v>
      </x:c>
    </x:row>
    <x:row r="130">
      <x:c r="A130" s="11" t="str">
        <x:v>2023-10</x:v>
      </x:c>
      <x:c r="B130" s="11" t="n">
        <x:v>9</x:v>
      </x:c>
      <x:c r="C130" s="11" t="str">
        <x:v>Nur noch ein einziges Mal</x:v>
      </x:c>
      <x:c r="D130" s="11" t="str">
        <x:v>Nur noch ein einziges Mal</x:v>
      </x:c>
      <x:c r="E130" s="11" t="str">
        <x:v>Colleen Hoover</x:v>
      </x:c>
      <x:c r="F130" s="11" t="str">
        <x:v>Official #BookTok Top 20</x:v>
      </x:c>
      <x:c r="G130" s="11" t="str">
        <x:v>Media Control &amp; TikTok</x:v>
      </x:c>
      <x:c r="H130" s="11" t="n">
        <x:v>202310</x:v>
      </x:c>
      <x:c r="I130" s="11" t="str">
        <x:v>Complete</x:v>
      </x:c>
      <x:c r="J130" s="11" t="str">
        <x:v>Yes</x:v>
      </x:c>
    </x:row>
    <x:row r="131">
      <x:c r="A131" s="11" t="str">
        <x:v>2023-10</x:v>
      </x:c>
      <x:c r="B131" s="11" t="n">
        <x:v>10</x:v>
      </x:c>
      <x:c r="C131" s="11" t="str">
        <x:v>22 Bahnen</x:v>
      </x:c>
      <x:c r="D131" s="11" t="str">
        <x:v>22 Bahnen</x:v>
      </x:c>
      <x:c r="E131" s="11" t="str">
        <x:v>Caroline Wahl</x:v>
      </x:c>
      <x:c r="F131" s="11" t="str">
        <x:v>Official #BookTok Top 20</x:v>
      </x:c>
      <x:c r="G131" s="11" t="str">
        <x:v>Media Control &amp; TikTok</x:v>
      </x:c>
      <x:c r="H131" s="11" t="n">
        <x:v>202310</x:v>
      </x:c>
      <x:c r="I131" s="11" t="str">
        <x:v>Complete</x:v>
      </x:c>
      <x:c r="J131" s="11" t="str">
        <x:v>Yes</x:v>
      </x:c>
    </x:row>
    <x:row r="132">
      <x:c r="A132" s="11" t="str">
        <x:v>2023-10</x:v>
      </x:c>
      <x:c r="B132" s="11" t="n">
        <x:v>11</x:v>
      </x:c>
      <x:c r="C132" s="11" t="str">
        <x:v>Two Lives to Rise</x:v>
      </x:c>
      <x:c r="D132" s="11" t="str">
        <x:v>Two Lives to Rise</x:v>
      </x:c>
      <x:c r="E132" s="11" t="str">
        <x:v>Kristina Moninger</x:v>
      </x:c>
      <x:c r="F132" s="11" t="str">
        <x:v>Official #BookTok Top 20</x:v>
      </x:c>
      <x:c r="G132" s="11" t="str">
        <x:v>Media Control &amp; TikTok</x:v>
      </x:c>
      <x:c r="H132" s="11" t="n">
        <x:v>202310</x:v>
      </x:c>
      <x:c r="I132" s="11" t="str">
        <x:v>Complete</x:v>
      </x:c>
      <x:c r="J132" s="11" t="str">
        <x:v>Yes</x:v>
      </x:c>
    </x:row>
    <x:row r="133">
      <x:c r="A133" s="11" t="str">
        <x:v>2023-10</x:v>
      </x:c>
      <x:c r="B133" s="11" t="n">
        <x:v>12</x:v>
      </x:c>
      <x:c r="C133" s="11" t="str">
        <x:v>Dark Elite - Revenge</x:v>
      </x:c>
      <x:c r="D133" s="11" t="str">
        <x:v>Dark Elite - Revenge</x:v>
      </x:c>
      <x:c r="E133" s="11" t="str">
        <x:v>Julia Hausburg</x:v>
      </x:c>
      <x:c r="F133" s="11" t="str">
        <x:v>Official #BookTok Top 20</x:v>
      </x:c>
      <x:c r="G133" s="11" t="str">
        <x:v>Media Control &amp; TikTok</x:v>
      </x:c>
      <x:c r="H133" s="11" t="n">
        <x:v>202310</x:v>
      </x:c>
      <x:c r="I133" s="11" t="str">
        <x:v>Complete</x:v>
      </x:c>
      <x:c r="J133" s="11" t="str">
        <x:v>Yes</x:v>
      </x:c>
    </x:row>
    <x:row r="134">
      <x:c r="A134" s="11" t="str">
        <x:v>2023-10</x:v>
      </x:c>
      <x:c r="B134" s="11" t="n">
        <x:v>13</x:v>
      </x:c>
      <x:c r="C134" s="11" t="str">
        <x:v>101 Essays, die dein Leben verändern werden</x:v>
      </x:c>
      <x:c r="D134" s="11" t="str">
        <x:v>101 Essays, die dein Leben verändern werden</x:v>
      </x:c>
      <x:c r="E134" s="11" t="str">
        <x:v>Brianna Wiest</x:v>
      </x:c>
      <x:c r="F134" s="11" t="str">
        <x:v>Official #BookTok Top 20</x:v>
      </x:c>
      <x:c r="G134" s="11" t="str">
        <x:v>Media Control &amp; TikTok</x:v>
      </x:c>
      <x:c r="H134" s="11" t="n">
        <x:v>202310</x:v>
      </x:c>
      <x:c r="I134" s="11" t="str">
        <x:v>Complete</x:v>
      </x:c>
      <x:c r="J134" s="11" t="str">
        <x:v>Yes</x:v>
      </x:c>
    </x:row>
    <x:row r="135">
      <x:c r="A135" s="11" t="str">
        <x:v>2023-10</x:v>
      </x:c>
      <x:c r="B135" s="11" t="n">
        <x:v>14</x:v>
      </x:c>
      <x:c r="C135" s="11" t="str">
        <x:v>50 Sätze, die das Leben leichter machen</x:v>
      </x:c>
      <x:c r="D135" s="11" t="str">
        <x:v>50 Sätze, die das Leben leichter machen</x:v>
      </x:c>
      <x:c r="E135" s="11" t="str">
        <x:v>Karin Kuschik</x:v>
      </x:c>
      <x:c r="F135" s="11" t="str">
        <x:v>Official #BookTok Top 20</x:v>
      </x:c>
      <x:c r="G135" s="11" t="str">
        <x:v>Media Control &amp; TikTok</x:v>
      </x:c>
      <x:c r="H135" s="11" t="n">
        <x:v>202310</x:v>
      </x:c>
      <x:c r="I135" s="11" t="str">
        <x:v>Complete</x:v>
      </x:c>
      <x:c r="J135" s="11" t="str">
        <x:v>Yes</x:v>
      </x:c>
    </x:row>
    <x:row r="136">
      <x:c r="A136" s="11" t="str">
        <x:v>2023-10</x:v>
      </x:c>
      <x:c r="B136" s="11" t="n">
        <x:v>15</x:v>
      </x:c>
      <x:c r="C136" s="11" t="str">
        <x:v>When The King Falls</x:v>
      </x:c>
      <x:c r="D136" s="11" t="str">
        <x:v>When The King Falls</x:v>
      </x:c>
      <x:c r="E136" s="11" t="str">
        <x:v>Marie Niehoff</x:v>
      </x:c>
      <x:c r="F136" s="11" t="str">
        <x:v>Official #BookTok Top 20</x:v>
      </x:c>
      <x:c r="G136" s="11" t="str">
        <x:v>Media Control &amp; TikTok</x:v>
      </x:c>
      <x:c r="H136" s="11" t="n">
        <x:v>202310</x:v>
      </x:c>
      <x:c r="I136" s="11" t="str">
        <x:v>Complete</x:v>
      </x:c>
      <x:c r="J136" s="11" t="str">
        <x:v>Yes</x:v>
      </x:c>
    </x:row>
    <x:row r="137">
      <x:c r="A137" s="11" t="str">
        <x:v>2023-10</x:v>
      </x:c>
      <x:c r="B137" s="11" t="n">
        <x:v>16</x:v>
      </x:c>
      <x:c r="C137" s="11" t="str">
        <x:v>Das Buch, von dem du dir wünschst, deine Eltern hätten es gelesen</x:v>
      </x:c>
      <x:c r="D137" s="11" t="str">
        <x:v>Das Buch, von dem du dir wünschst, deine Eltern hätten es gelesen</x:v>
      </x:c>
      <x:c r="E137" s="11" t="str">
        <x:v>Philippa Perry</x:v>
      </x:c>
      <x:c r="F137" s="11" t="str">
        <x:v>Official #BookTok Top 20</x:v>
      </x:c>
      <x:c r="G137" s="11" t="str">
        <x:v>Media Control &amp; TikTok</x:v>
      </x:c>
      <x:c r="H137" s="11" t="n">
        <x:v>202310</x:v>
      </x:c>
      <x:c r="I137" s="11" t="str">
        <x:v>Complete</x:v>
      </x:c>
      <x:c r="J137" s="11" t="str">
        <x:v>Yes</x:v>
      </x:c>
    </x:row>
    <x:row r="138">
      <x:c r="A138" s="11" t="str">
        <x:v>2023-10</x:v>
      </x:c>
      <x:c r="B138" s="11" t="n">
        <x:v>17</x:v>
      </x:c>
      <x:c r="C138" s="11" t="str">
        <x:v>Twisted Dreams</x:v>
      </x:c>
      <x:c r="D138" s="11" t="str">
        <x:v>Twisted Dreams</x:v>
      </x:c>
      <x:c r="E138" s="11" t="str">
        <x:v>Ana Huang</x:v>
      </x:c>
      <x:c r="F138" s="11" t="str">
        <x:v>Official #BookTok Top 20</x:v>
      </x:c>
      <x:c r="G138" s="11" t="str">
        <x:v>Media Control &amp; TikTok</x:v>
      </x:c>
      <x:c r="H138" s="11" t="n">
        <x:v>202310</x:v>
      </x:c>
      <x:c r="I138" s="11" t="str">
        <x:v>Complete</x:v>
      </x:c>
      <x:c r="J138" s="11" t="str">
        <x:v>Yes</x:v>
      </x:c>
    </x:row>
    <x:row r="139">
      <x:c r="A139" s="11" t="str">
        <x:v>2023-10</x:v>
      </x:c>
      <x:c r="B139" s="11" t="n">
        <x:v>18</x:v>
      </x:c>
      <x:c r="C139" s="11" t="str">
        <x:v>Skogen Dynasty (Crumbling Hearts, Band 1)</x:v>
      </x:c>
      <x:c r="D139" s="11" t="str">
        <x:v>Skogen Dynasty (Crumbling Hearts, Band 1)</x:v>
      </x:c>
      <x:c r="E139" s="11" t="str">
        <x:v>Carolin Wahl</x:v>
      </x:c>
      <x:c r="F139" s="11" t="str">
        <x:v>Official #BookTok Top 20</x:v>
      </x:c>
      <x:c r="G139" s="11" t="str">
        <x:v>Media Control &amp; TikTok</x:v>
      </x:c>
      <x:c r="H139" s="11" t="n">
        <x:v>202310</x:v>
      </x:c>
      <x:c r="I139" s="11" t="str">
        <x:v>Complete</x:v>
      </x:c>
      <x:c r="J139" s="11" t="str">
        <x:v>Yes</x:v>
      </x:c>
    </x:row>
    <x:row r="140">
      <x:c r="A140" s="11" t="str">
        <x:v>2023-10</x:v>
      </x:c>
      <x:c r="B140" s="11" t="n">
        <x:v>19</x:v>
      </x:c>
      <x:c r="C140" s="11" t="str">
        <x:v>Today I’ll Talk to Him</x:v>
      </x:c>
      <x:c r="D140" s="11" t="str">
        <x:v>Today I’ll Talk to Him</x:v>
      </x:c>
      <x:c r="E140" s="11" t="str">
        <x:v>Bianca Wege</x:v>
      </x:c>
      <x:c r="F140" s="11" t="str">
        <x:v>Official #BookTok Top 20</x:v>
      </x:c>
      <x:c r="G140" s="11" t="str">
        <x:v>Media Control &amp; TikTok</x:v>
      </x:c>
      <x:c r="H140" s="11" t="n">
        <x:v>202310</x:v>
      </x:c>
      <x:c r="I140" s="11" t="str">
        <x:v>Complete</x:v>
      </x:c>
      <x:c r="J140" s="11" t="str">
        <x:v>Yes</x:v>
      </x:c>
    </x:row>
    <x:row r="141">
      <x:c r="A141" s="11" t="str">
        <x:v>2023-10</x:v>
      </x:c>
      <x:c r="B141" s="11" t="n">
        <x:v>20</x:v>
      </x:c>
      <x:c r="C141" s="11" t="str">
        <x:v>Die Sonnenfeuer-Ballade 1: A Song to Raise a Storm</x:v>
      </x:c>
      <x:c r="D141" s="11" t="str">
        <x:v>Die Sonnenfeuer-Ballade 1: A Song to Raise a Storm</x:v>
      </x:c>
      <x:c r="E141" s="11" t="str">
        <x:v>Julia Dippel</x:v>
      </x:c>
      <x:c r="F141" s="11" t="str">
        <x:v>Official #BookTok Top 20</x:v>
      </x:c>
      <x:c r="G141" s="11" t="str">
        <x:v>Media Control &amp; TikTok</x:v>
      </x:c>
      <x:c r="H141" s="11" t="n">
        <x:v>202310</x:v>
      </x:c>
      <x:c r="I141" s="11" t="str">
        <x:v>Complete</x:v>
      </x:c>
      <x:c r="J141" s="11" t="str">
        <x:v>Yes</x:v>
      </x:c>
    </x:row>
    <x:row r="142">
      <x:c r="A142" s="11" t="str">
        <x:v>2023-11</x:v>
      </x:c>
      <x:c r="B142" s="11" t="n">
        <x:v>1</x:v>
      </x:c>
      <x:c r="C142" s="11" t="str">
        <x:v>Fallen Princess</x:v>
      </x:c>
      <x:c r="D142" s="11" t="str">
        <x:v>Fallen Princess</x:v>
      </x:c>
      <x:c r="E142" s="11" t="str">
        <x:v>Mona Kasten</x:v>
      </x:c>
      <x:c r="F142" s="11" t="str">
        <x:v>Official #BookTok Top 20</x:v>
      </x:c>
      <x:c r="G142" s="11" t="str">
        <x:v>Media Control &amp; TikTok</x:v>
      </x:c>
      <x:c r="H142" s="11" t="n">
        <x:v>202311</x:v>
      </x:c>
      <x:c r="I142" s="11" t="str">
        <x:v>Complete</x:v>
      </x:c>
      <x:c r="J142" s="11" t="str">
        <x:v>Yes</x:v>
      </x:c>
    </x:row>
    <x:row r="143">
      <x:c r="A143" s="11" t="str">
        <x:v>2023-11</x:v>
      </x:c>
      <x:c r="B143" s="11" t="n">
        <x:v>2</x:v>
      </x:c>
      <x:c r="C143" s="11" t="str">
        <x:v>Tintenwelt 4. Die Farbe der Rache</x:v>
      </x:c>
      <x:c r="D143" s="11" t="str">
        <x:v>Tintenwelt 4. Die Farbe der Rache</x:v>
      </x:c>
      <x:c r="E143" s="11" t="str">
        <x:v>Cornelia Funke</x:v>
      </x:c>
      <x:c r="F143" s="11" t="str">
        <x:v>Official #BookTok Top 20</x:v>
      </x:c>
      <x:c r="G143" s="11" t="str">
        <x:v>Media Control &amp; TikTok</x:v>
      </x:c>
      <x:c r="H143" s="11" t="n">
        <x:v>202311</x:v>
      </x:c>
      <x:c r="I143" s="11" t="str">
        <x:v>Complete</x:v>
      </x:c>
      <x:c r="J143" s="11" t="str">
        <x:v>Yes</x:v>
      </x:c>
    </x:row>
    <x:row r="144">
      <x:c r="A144" s="11" t="str">
        <x:v>2023-11</x:v>
      </x:c>
      <x:c r="B144" s="11" t="n">
        <x:v>3</x:v>
      </x:c>
      <x:c r="C144" s="11" t="str">
        <x:v>New Wishes</x:v>
      </x:c>
      <x:c r="D144" s="11" t="str">
        <x:v>New Wishes</x:v>
      </x:c>
      <x:c r="E144" s="11" t="str">
        <x:v>Lilly Lucas</x:v>
      </x:c>
      <x:c r="F144" s="11" t="str">
        <x:v>Official #BookTok Top 20</x:v>
      </x:c>
      <x:c r="G144" s="11" t="str">
        <x:v>Media Control &amp; TikTok</x:v>
      </x:c>
      <x:c r="H144" s="11" t="n">
        <x:v>202311</x:v>
      </x:c>
      <x:c r="I144" s="11" t="str">
        <x:v>Complete</x:v>
      </x:c>
      <x:c r="J144" s="11" t="str">
        <x:v>Yes</x:v>
      </x:c>
    </x:row>
    <x:row r="145">
      <x:c r="A145" s="11" t="str">
        <x:v>2023-11</x:v>
      </x:c>
      <x:c r="B145" s="11" t="n">
        <x:v>4</x:v>
      </x:c>
      <x:c r="C145" s="11" t="str">
        <x:v>Die 1%-Methode - Minimale Veränderung, maximale Wirkung</x:v>
      </x:c>
      <x:c r="D145" s="11" t="str">
        <x:v>Die 1%-Methode - Minimale Veränderung, maximale Wirkung</x:v>
      </x:c>
      <x:c r="E145" s="11" t="str">
        <x:v>James Clear</x:v>
      </x:c>
      <x:c r="F145" s="11" t="str">
        <x:v>Official #BookTok Top 20</x:v>
      </x:c>
      <x:c r="G145" s="11" t="str">
        <x:v>Media Control &amp; TikTok</x:v>
      </x:c>
      <x:c r="H145" s="11" t="n">
        <x:v>202311</x:v>
      </x:c>
      <x:c r="I145" s="11" t="str">
        <x:v>Complete</x:v>
      </x:c>
      <x:c r="J145" s="11" t="str">
        <x:v>Yes</x:v>
      </x:c>
    </x:row>
    <x:row r="146">
      <x:c r="A146" s="11" t="str">
        <x:v>2023-11</x:v>
      </x:c>
      <x:c r="B146" s="11" t="n">
        <x:v>5</x:v>
      </x:c>
      <x:c r="C146" s="11" t="str">
        <x:v>Verity</x:v>
      </x:c>
      <x:c r="D146" s="11" t="str">
        <x:v>Verity</x:v>
      </x:c>
      <x:c r="E146" s="11" t="str">
        <x:v>Colleen Hoover</x:v>
      </x:c>
      <x:c r="F146" s="11" t="str">
        <x:v>Official #BookTok Top 20</x:v>
      </x:c>
      <x:c r="G146" s="11" t="str">
        <x:v>Media Control &amp; TikTok</x:v>
      </x:c>
      <x:c r="H146" s="11" t="n">
        <x:v>202311</x:v>
      </x:c>
      <x:c r="I146" s="11" t="str">
        <x:v>Complete</x:v>
      </x:c>
      <x:c r="J146" s="11" t="str">
        <x:v>Yes</x:v>
      </x:c>
    </x:row>
    <x:row r="147">
      <x:c r="A147" s="11" t="str">
        <x:v>2023-11</x:v>
      </x:c>
      <x:c r="B147" s="11" t="n">
        <x:v>6</x:v>
      </x:c>
      <x:c r="C147" s="11" t="str">
        <x:v>Das Kind in dir muss Heimat finden</x:v>
      </x:c>
      <x:c r="D147" s="11" t="str">
        <x:v>Das Kind in dir muss Heimat finden</x:v>
      </x:c>
      <x:c r="E147" s="11" t="str">
        <x:v>Stefanie Stahl</x:v>
      </x:c>
      <x:c r="F147" s="11" t="str">
        <x:v>Official #BookTok Top 20</x:v>
      </x:c>
      <x:c r="G147" s="11" t="str">
        <x:v>Media Control &amp; TikTok</x:v>
      </x:c>
      <x:c r="H147" s="11" t="n">
        <x:v>202311</x:v>
      </x:c>
      <x:c r="I147" s="11" t="str">
        <x:v>Complete</x:v>
      </x:c>
      <x:c r="J147" s="11" t="str">
        <x:v>Yes</x:v>
      </x:c>
    </x:row>
    <x:row r="148">
      <x:c r="A148" s="11" t="str">
        <x:v>2023-11</x:v>
      </x:c>
      <x:c r="B148" s="11" t="n">
        <x:v>7</x:v>
      </x:c>
      <x:c r="C148" s="11" t="str">
        <x:v>Fourth Wing - Flammengeküsst</x:v>
      </x:c>
      <x:c r="D148" s="11" t="str">
        <x:v>Fourth Wing - Flammengeküsst</x:v>
      </x:c>
      <x:c r="E148" s="11" t="str">
        <x:v>Rebecca Yarros</x:v>
      </x:c>
      <x:c r="F148" s="11" t="str">
        <x:v>Official #BookTok Top 20</x:v>
      </x:c>
      <x:c r="G148" s="11" t="str">
        <x:v>Media Control &amp; TikTok</x:v>
      </x:c>
      <x:c r="H148" s="11" t="n">
        <x:v>202311</x:v>
      </x:c>
      <x:c r="I148" s="11" t="str">
        <x:v>Complete</x:v>
      </x:c>
      <x:c r="J148" s="11" t="str">
        <x:v>Yes</x:v>
      </x:c>
    </x:row>
    <x:row r="149">
      <x:c r="A149" s="11" t="str">
        <x:v>2023-11</x:v>
      </x:c>
      <x:c r="B149" s="11" t="n">
        <x:v>8</x:v>
      </x:c>
      <x:c r="C149" s="11" t="str">
        <x:v>Die Mitternachtsbibliothek</x:v>
      </x:c>
      <x:c r="D149" s="11" t="str">
        <x:v>Die Mitternachtsbibliothek</x:v>
      </x:c>
      <x:c r="E149" s="11" t="str">
        <x:v>Matt Haig</x:v>
      </x:c>
      <x:c r="F149" s="11" t="str">
        <x:v>Official #BookTok Top 20</x:v>
      </x:c>
      <x:c r="G149" s="11" t="str">
        <x:v>Media Control &amp; TikTok</x:v>
      </x:c>
      <x:c r="H149" s="11" t="n">
        <x:v>202311</x:v>
      </x:c>
      <x:c r="I149" s="11" t="str">
        <x:v>Complete</x:v>
      </x:c>
      <x:c r="J149" s="11" t="str">
        <x:v>Yes</x:v>
      </x:c>
    </x:row>
    <x:row r="150">
      <x:c r="A150" s="11" t="str">
        <x:v>2023-11</x:v>
      </x:c>
      <x:c r="B150" s="11" t="n">
        <x:v>9</x:v>
      </x:c>
      <x:c r="C150" s="11" t="str">
        <x:v>It starts with us - Nur noch einmal und für immer</x:v>
      </x:c>
      <x:c r="D150" s="11" t="str">
        <x:v>It starts with us - Nur noch einmal und für immer</x:v>
      </x:c>
      <x:c r="E150" s="11" t="str">
        <x:v>Colleen Hoover</x:v>
      </x:c>
      <x:c r="F150" s="11" t="str">
        <x:v>Official #BookTok Top 20</x:v>
      </x:c>
      <x:c r="G150" s="11" t="str">
        <x:v>Media Control &amp; TikTok</x:v>
      </x:c>
      <x:c r="H150" s="11" t="n">
        <x:v>202311</x:v>
      </x:c>
      <x:c r="I150" s="11" t="str">
        <x:v>Complete</x:v>
      </x:c>
      <x:c r="J150" s="11" t="str">
        <x:v>Yes</x:v>
      </x:c>
    </x:row>
    <x:row r="151">
      <x:c r="A151" s="11" t="str">
        <x:v>2023-11</x:v>
      </x:c>
      <x:c r="B151" s="11" t="n">
        <x:v>10</x:v>
      </x:c>
      <x:c r="C151" s="11" t="str">
        <x:v>Icebreaker</x:v>
      </x:c>
      <x:c r="D151" s="11" t="str">
        <x:v>Icebreaker</x:v>
      </x:c>
      <x:c r="E151" s="11" t="str">
        <x:v>Hannah Grace</x:v>
      </x:c>
      <x:c r="F151" s="11" t="str">
        <x:v>Official #BookTok Top 20</x:v>
      </x:c>
      <x:c r="G151" s="11" t="str">
        <x:v>Media Control &amp; TikTok</x:v>
      </x:c>
      <x:c r="H151" s="11" t="n">
        <x:v>202311</x:v>
      </x:c>
      <x:c r="I151" s="11" t="str">
        <x:v>Complete</x:v>
      </x:c>
      <x:c r="J151" s="11" t="str">
        <x:v>Yes</x:v>
      </x:c>
    </x:row>
    <x:row r="152">
      <x:c r="A152" s="11" t="str">
        <x:v>2023-11</x:v>
      </x:c>
      <x:c r="B152" s="11" t="n">
        <x:v>11</x:v>
      </x:c>
      <x:c r="C152" s="11" t="str">
        <x:v>22 Bahnen</x:v>
      </x:c>
      <x:c r="D152" s="11" t="str">
        <x:v>22 Bahnen</x:v>
      </x:c>
      <x:c r="E152" s="11" t="str">
        <x:v>Caroline Wahl</x:v>
      </x:c>
      <x:c r="F152" s="11" t="str">
        <x:v>Official #BookTok Top 20</x:v>
      </x:c>
      <x:c r="G152" s="11" t="str">
        <x:v>Media Control &amp; TikTok</x:v>
      </x:c>
      <x:c r="H152" s="11" t="n">
        <x:v>202311</x:v>
      </x:c>
      <x:c r="I152" s="11" t="str">
        <x:v>Complete</x:v>
      </x:c>
      <x:c r="J152" s="11" t="str">
        <x:v>Yes</x:v>
      </x:c>
    </x:row>
    <x:row r="153">
      <x:c r="A153" s="11" t="str">
        <x:v>2023-11</x:v>
      </x:c>
      <x:c r="B153" s="11" t="n">
        <x:v>12</x:v>
      </x:c>
      <x:c r="C153" s="11" t="str">
        <x:v>Once Upon a Broken Heart</x:v>
      </x:c>
      <x:c r="D153" s="11" t="str">
        <x:v>Once Upon a Broken Heart</x:v>
      </x:c>
      <x:c r="E153" s="11" t="str">
        <x:v>Stephanie Garber</x:v>
      </x:c>
      <x:c r="F153" s="11" t="str">
        <x:v>Official #BookTok Top 20</x:v>
      </x:c>
      <x:c r="G153" s="11" t="str">
        <x:v>Media Control &amp; TikTok</x:v>
      </x:c>
      <x:c r="H153" s="11" t="n">
        <x:v>202311</x:v>
      </x:c>
      <x:c r="I153" s="11" t="str">
        <x:v>Complete</x:v>
      </x:c>
      <x:c r="J153" s="11" t="str">
        <x:v>Yes</x:v>
      </x:c>
    </x:row>
    <x:row r="154">
      <x:c r="A154" s="11" t="str">
        <x:v>2023-11</x:v>
      </x:c>
      <x:c r="B154" s="11" t="n">
        <x:v>13</x:v>
      </x:c>
      <x:c r="C154" s="11" t="str">
        <x:v>Das Buch, von dem du dir wünschst, deine Eltern hätten es gelesen</x:v>
      </x:c>
      <x:c r="D154" s="11" t="str">
        <x:v>Das Buch, von dem du dir wünschst, deine Eltern hätten es gelesen</x:v>
      </x:c>
      <x:c r="E154" s="11" t="str">
        <x:v>Philippa Perry</x:v>
      </x:c>
      <x:c r="F154" s="11" t="str">
        <x:v>Official #BookTok Top 20</x:v>
      </x:c>
      <x:c r="G154" s="11" t="str">
        <x:v>Media Control &amp; TikTok</x:v>
      </x:c>
      <x:c r="H154" s="11" t="n">
        <x:v>202311</x:v>
      </x:c>
      <x:c r="I154" s="11" t="str">
        <x:v>Complete</x:v>
      </x:c>
      <x:c r="J154" s="11" t="str">
        <x:v>Yes</x:v>
      </x:c>
    </x:row>
    <x:row r="155">
      <x:c r="A155" s="11" t="str">
        <x:v>2023-11</x:v>
      </x:c>
      <x:c r="B155" s="11" t="n">
        <x:v>14</x:v>
      </x:c>
      <x:c r="C155" s="11" t="str">
        <x:v>101 Essays, die dein Leben verändern werden</x:v>
      </x:c>
      <x:c r="D155" s="11" t="str">
        <x:v>101 Essays, die dein Leben verändern werden</x:v>
      </x:c>
      <x:c r="E155" s="11" t="str">
        <x:v>Brianna Wiest</x:v>
      </x:c>
      <x:c r="F155" s="11" t="str">
        <x:v>Official #BookTok Top 20</x:v>
      </x:c>
      <x:c r="G155" s="11" t="str">
        <x:v>Media Control &amp; TikTok</x:v>
      </x:c>
      <x:c r="H155" s="11" t="n">
        <x:v>202311</x:v>
      </x:c>
      <x:c r="I155" s="11" t="str">
        <x:v>Complete</x:v>
      </x:c>
      <x:c r="J155" s="11" t="str">
        <x:v>Yes</x:v>
      </x:c>
    </x:row>
    <x:row r="156">
      <x:c r="A156" s="11" t="str">
        <x:v>2023-11</x:v>
      </x:c>
      <x:c r="B156" s="11" t="n">
        <x:v>15</x:v>
      </x:c>
      <x:c r="C156" s="11" t="str">
        <x:v>Nur noch ein einziges Mal</x:v>
      </x:c>
      <x:c r="D156" s="11" t="str">
        <x:v>Nur noch ein einziges Mal</x:v>
      </x:c>
      <x:c r="E156" s="11" t="str">
        <x:v>Colleen Hoover</x:v>
      </x:c>
      <x:c r="F156" s="11" t="str">
        <x:v>Official #BookTok Top 20</x:v>
      </x:c>
      <x:c r="G156" s="11" t="str">
        <x:v>Media Control &amp; TikTok</x:v>
      </x:c>
      <x:c r="H156" s="11" t="n">
        <x:v>202311</x:v>
      </x:c>
      <x:c r="I156" s="11" t="str">
        <x:v>Complete</x:v>
      </x:c>
      <x:c r="J156" s="11" t="str">
        <x:v>Yes</x:v>
      </x:c>
    </x:row>
    <x:row r="157">
      <x:c r="A157" s="11" t="str">
        <x:v>2023-11</x:v>
      </x:c>
      <x:c r="B157" s="11" t="n">
        <x:v>16</x:v>
      </x:c>
      <x:c r="C157" s="11" t="str">
        <x:v>King of Wrath</x:v>
      </x:c>
      <x:c r="D157" s="11" t="str">
        <x:v>King of Wrath</x:v>
      </x:c>
      <x:c r="E157" s="11" t="str">
        <x:v>Ana Huang</x:v>
      </x:c>
      <x:c r="F157" s="11" t="str">
        <x:v>Official #BookTok Top 20</x:v>
      </x:c>
      <x:c r="G157" s="11" t="str">
        <x:v>Media Control &amp; TikTok</x:v>
      </x:c>
      <x:c r="H157" s="11" t="n">
        <x:v>202311</x:v>
      </x:c>
      <x:c r="I157" s="11" t="str">
        <x:v>Complete</x:v>
      </x:c>
      <x:c r="J157" s="11" t="str">
        <x:v>Yes</x:v>
      </x:c>
    </x:row>
    <x:row r="158">
      <x:c r="A158" s="11" t="str">
        <x:v>2023-11</x:v>
      </x:c>
      <x:c r="B158" s="11" t="n">
        <x:v>17</x:v>
      </x:c>
      <x:c r="C158" s="11" t="str">
        <x:v>When The King Falls</x:v>
      </x:c>
      <x:c r="D158" s="11" t="str">
        <x:v>When The King Falls</x:v>
      </x:c>
      <x:c r="E158" s="11" t="str">
        <x:v>Marie Niehoff</x:v>
      </x:c>
      <x:c r="F158" s="11" t="str">
        <x:v>Official #BookTok Top 20</x:v>
      </x:c>
      <x:c r="G158" s="11" t="str">
        <x:v>Media Control &amp; TikTok</x:v>
      </x:c>
      <x:c r="H158" s="11" t="n">
        <x:v>202311</x:v>
      </x:c>
      <x:c r="I158" s="11" t="str">
        <x:v>Complete</x:v>
      </x:c>
      <x:c r="J158" s="11" t="str">
        <x:v>Yes</x:v>
      </x:c>
    </x:row>
    <x:row r="159">
      <x:c r="A159" s="11" t="str">
        <x:v>2023-11</x:v>
      </x:c>
      <x:c r="B159" s="11" t="n">
        <x:v>18</x:v>
      </x:c>
      <x:c r="C159" s="11" t="str">
        <x:v>Today I’ll Talk to Him</x:v>
      </x:c>
      <x:c r="D159" s="11" t="str">
        <x:v>Today I’ll Talk to Him</x:v>
      </x:c>
      <x:c r="E159" s="11" t="str">
        <x:v>Bianca Wege</x:v>
      </x:c>
      <x:c r="F159" s="11" t="str">
        <x:v>Official #BookTok Top 20</x:v>
      </x:c>
      <x:c r="G159" s="11" t="str">
        <x:v>Media Control &amp; TikTok</x:v>
      </x:c>
      <x:c r="H159" s="11" t="n">
        <x:v>202311</x:v>
      </x:c>
      <x:c r="I159" s="11" t="str">
        <x:v>Complete</x:v>
      </x:c>
      <x:c r="J159" s="11" t="str">
        <x:v>Yes</x:v>
      </x:c>
    </x:row>
    <x:row r="160">
      <x:c r="A160" s="11" t="str">
        <x:v>2023-11</x:v>
      </x:c>
      <x:c r="B160" s="11" t="n">
        <x:v>19</x:v>
      </x:c>
      <x:c r="C160" s="11" t="str">
        <x:v>Hard Land</x:v>
      </x:c>
      <x:c r="D160" s="11" t="str">
        <x:v>Hard Land</x:v>
      </x:c>
      <x:c r="E160" s="11" t="str">
        <x:v>Benedict Wells</x:v>
      </x:c>
      <x:c r="F160" s="11" t="str">
        <x:v>Official #BookTok Top 20</x:v>
      </x:c>
      <x:c r="G160" s="11" t="str">
        <x:v>Media Control &amp; TikTok</x:v>
      </x:c>
      <x:c r="H160" s="11" t="n">
        <x:v>202311</x:v>
      </x:c>
      <x:c r="I160" s="11" t="str">
        <x:v>Complete</x:v>
      </x:c>
      <x:c r="J160" s="11" t="str">
        <x:v>Yes</x:v>
      </x:c>
    </x:row>
    <x:row r="161">
      <x:c r="A161" s="11" t="str">
        <x:v>2023-11</x:v>
      </x:c>
      <x:c r="B161" s="11" t="n">
        <x:v>20</x:v>
      </x:c>
      <x:c r="C161" s="11" t="str">
        <x:v>Power: Die 48 Gesetze der Macht</x:v>
      </x:c>
      <x:c r="D161" s="11" t="str">
        <x:v>Power: Die 48 Gesetze der Macht</x:v>
      </x:c>
      <x:c r="E161" s="11" t="str">
        <x:v>Robert Greene</x:v>
      </x:c>
      <x:c r="F161" s="11" t="str">
        <x:v>Official #BookTok Top 20</x:v>
      </x:c>
      <x:c r="G161" s="11" t="str">
        <x:v>Media Control &amp; TikTok</x:v>
      </x:c>
      <x:c r="H161" s="11" t="n">
        <x:v>202311</x:v>
      </x:c>
      <x:c r="I161" s="11" t="str">
        <x:v>Complete</x:v>
      </x:c>
      <x:c r="J161" s="11" t="str">
        <x:v>Yes</x:v>
      </x:c>
    </x:row>
    <x:row r="162">
      <x:c r="A162" s="11" t="str">
        <x:v>2023-12</x:v>
      </x:c>
      <x:c r="B162" s="11" t="n">
        <x:v>1</x:v>
      </x:c>
      <x:c r="C162" s="11" t="str">
        <x:v>Tintenwelt 4. Die Farbe der Rache</x:v>
      </x:c>
      <x:c r="D162" s="11" t="str">
        <x:v>Tintenwelt 4. Die Farbe der Rache</x:v>
      </x:c>
      <x:c r="E162" s="11" t="str">
        <x:v>Cornelia Funke</x:v>
      </x:c>
      <x:c r="F162" s="11" t="str">
        <x:v>Official #BookTok Top 20</x:v>
      </x:c>
      <x:c r="G162" s="11" t="str">
        <x:v>Media Control &amp; TikTok</x:v>
      </x:c>
      <x:c r="H162" s="11" t="n">
        <x:v>202312</x:v>
      </x:c>
      <x:c r="I162" s="11" t="str">
        <x:v>Complete</x:v>
      </x:c>
      <x:c r="J162" s="11" t="str">
        <x:v>Yes</x:v>
      </x:c>
    </x:row>
    <x:row r="163">
      <x:c r="A163" s="11" t="str">
        <x:v>2023-12</x:v>
      </x:c>
      <x:c r="B163" s="11" t="n">
        <x:v>2</x:v>
      </x:c>
      <x:c r="C163" s="11" t="str">
        <x:v>Murtagh - Eine dunkle Bedrohung</x:v>
      </x:c>
      <x:c r="D163" s="11" t="str">
        <x:v>Murtagh - Eine dunkle Bedrohung</x:v>
      </x:c>
      <x:c r="E163" s="11" t="str">
        <x:v>Christopher Paolini</x:v>
      </x:c>
      <x:c r="F163" s="11" t="str">
        <x:v>Official #BookTok Top 20</x:v>
      </x:c>
      <x:c r="G163" s="11" t="str">
        <x:v>Media Control &amp; TikTok</x:v>
      </x:c>
      <x:c r="H163" s="11" t="n">
        <x:v>202312</x:v>
      </x:c>
      <x:c r="I163" s="11" t="str">
        <x:v>Complete</x:v>
      </x:c>
      <x:c r="J163" s="11" t="str">
        <x:v>Yes</x:v>
      </x:c>
    </x:row>
    <x:row r="164">
      <x:c r="A164" s="11" t="str">
        <x:v>2023-12</x:v>
      </x:c>
      <x:c r="B164" s="11" t="n">
        <x:v>3</x:v>
      </x:c>
      <x:c r="C164" s="11" t="str">
        <x:v>Die 1%-Methode - Minimale Veränderung, maximale Wirkung</x:v>
      </x:c>
      <x:c r="D164" s="11" t="str">
        <x:v>Die 1%-Methode - Minimale Veränderung, maximale Wirkung</x:v>
      </x:c>
      <x:c r="E164" s="11" t="str">
        <x:v>James Clear</x:v>
      </x:c>
      <x:c r="F164" s="11" t="str">
        <x:v>Official #BookTok Top 20</x:v>
      </x:c>
      <x:c r="G164" s="11" t="str">
        <x:v>Media Control &amp; TikTok</x:v>
      </x:c>
      <x:c r="H164" s="11" t="n">
        <x:v>202312</x:v>
      </x:c>
      <x:c r="I164" s="11" t="str">
        <x:v>Complete</x:v>
      </x:c>
      <x:c r="J164" s="11" t="str">
        <x:v>Yes</x:v>
      </x:c>
    </x:row>
    <x:row r="165">
      <x:c r="A165" s="11" t="str">
        <x:v>2023-12</x:v>
      </x:c>
      <x:c r="B165" s="11" t="n">
        <x:v>4</x:v>
      </x:c>
      <x:c r="C165" s="11" t="str">
        <x:v>Die Mitternachtsbibliothek</x:v>
      </x:c>
      <x:c r="D165" s="11" t="str">
        <x:v>Die Mitternachtsbibliothek</x:v>
      </x:c>
      <x:c r="E165" s="11" t="str">
        <x:v>Matt Haig</x:v>
      </x:c>
      <x:c r="F165" s="11" t="str">
        <x:v>Official #BookTok Top 20</x:v>
      </x:c>
      <x:c r="G165" s="11" t="str">
        <x:v>Media Control &amp; TikTok</x:v>
      </x:c>
      <x:c r="H165" s="11" t="n">
        <x:v>202312</x:v>
      </x:c>
      <x:c r="I165" s="11" t="str">
        <x:v>Complete</x:v>
      </x:c>
      <x:c r="J165" s="11" t="str">
        <x:v>Yes</x:v>
      </x:c>
    </x:row>
    <x:row r="166">
      <x:c r="A166" s="11" t="str">
        <x:v>2023-12</x:v>
      </x:c>
      <x:c r="B166" s="11" t="n">
        <x:v>5</x:v>
      </x:c>
      <x:c r="C166" s="11" t="str">
        <x:v>22 Bahnen</x:v>
      </x:c>
      <x:c r="D166" s="11" t="str">
        <x:v>22 Bahnen</x:v>
      </x:c>
      <x:c r="E166" s="11" t="str">
        <x:v>Caroline Wahl</x:v>
      </x:c>
      <x:c r="F166" s="11" t="str">
        <x:v>Official #BookTok Top 20</x:v>
      </x:c>
      <x:c r="G166" s="11" t="str">
        <x:v>Media Control &amp; TikTok</x:v>
      </x:c>
      <x:c r="H166" s="11" t="n">
        <x:v>202312</x:v>
      </x:c>
      <x:c r="I166" s="11" t="str">
        <x:v>Complete</x:v>
      </x:c>
      <x:c r="J166" s="11" t="str">
        <x:v>Yes</x:v>
      </x:c>
    </x:row>
    <x:row r="167">
      <x:c r="A167" s="11" t="str">
        <x:v>2023-12</x:v>
      </x:c>
      <x:c r="B167" s="11" t="n">
        <x:v>6</x:v>
      </x:c>
      <x:c r="C167" s="11" t="str">
        <x:v>Iron Flame - Flammengeküsst</x:v>
      </x:c>
      <x:c r="D167" s="11" t="str">
        <x:v>Iron Flame - Flammengeküsst</x:v>
      </x:c>
      <x:c r="E167" s="11" t="str">
        <x:v>Rebecca Yarros</x:v>
      </x:c>
      <x:c r="F167" s="11" t="str">
        <x:v>Official #BookTok Top 20</x:v>
      </x:c>
      <x:c r="G167" s="11" t="str">
        <x:v>Media Control &amp; TikTok</x:v>
      </x:c>
      <x:c r="H167" s="11" t="n">
        <x:v>202312</x:v>
      </x:c>
      <x:c r="I167" s="11" t="str">
        <x:v>Complete</x:v>
      </x:c>
      <x:c r="J167" s="11" t="str">
        <x:v>Yes</x:v>
      </x:c>
    </x:row>
    <x:row r="168">
      <x:c r="A168" s="11" t="str">
        <x:v>2023-12</x:v>
      </x:c>
      <x:c r="B168" s="11" t="n">
        <x:v>7</x:v>
      </x:c>
      <x:c r="C168" s="11" t="str">
        <x:v>Icebreaker</x:v>
      </x:c>
      <x:c r="D168" s="11" t="str">
        <x:v>Icebreaker</x:v>
      </x:c>
      <x:c r="E168" s="11" t="str">
        <x:v>Hannah Grace</x:v>
      </x:c>
      <x:c r="F168" s="11" t="str">
        <x:v>Official #BookTok Top 20</x:v>
      </x:c>
      <x:c r="G168" s="11" t="str">
        <x:v>Media Control &amp; TikTok</x:v>
      </x:c>
      <x:c r="H168" s="11" t="n">
        <x:v>202312</x:v>
      </x:c>
      <x:c r="I168" s="11" t="str">
        <x:v>Complete</x:v>
      </x:c>
      <x:c r="J168" s="11" t="str">
        <x:v>Yes</x:v>
      </x:c>
    </x:row>
    <x:row r="169">
      <x:c r="A169" s="11" t="str">
        <x:v>2023-12</x:v>
      </x:c>
      <x:c r="B169" s="11" t="n">
        <x:v>8</x:v>
      </x:c>
      <x:c r="C169" s="11" t="str">
        <x:v>Fourth Wing - Flammengeküsst</x:v>
      </x:c>
      <x:c r="D169" s="11" t="str">
        <x:v>Fourth Wing - Flammengeküsst</x:v>
      </x:c>
      <x:c r="E169" s="11" t="str">
        <x:v>Rebecca Yarros</x:v>
      </x:c>
      <x:c r="F169" s="11" t="str">
        <x:v>Official #BookTok Top 20</x:v>
      </x:c>
      <x:c r="G169" s="11" t="str">
        <x:v>Media Control &amp; TikTok</x:v>
      </x:c>
      <x:c r="H169" s="11" t="n">
        <x:v>202312</x:v>
      </x:c>
      <x:c r="I169" s="11" t="str">
        <x:v>Complete</x:v>
      </x:c>
      <x:c r="J169" s="11" t="str">
        <x:v>Yes</x:v>
      </x:c>
    </x:row>
    <x:row r="170">
      <x:c r="A170" s="11" t="str">
        <x:v>2023-12</x:v>
      </x:c>
      <x:c r="B170" s="11" t="n">
        <x:v>9</x:v>
      </x:c>
      <x:c r="C170" s="11" t="str">
        <x:v>Verity</x:v>
      </x:c>
      <x:c r="D170" s="11" t="str">
        <x:v>Verity</x:v>
      </x:c>
      <x:c r="E170" s="11" t="str">
        <x:v>Colleen Hoover</x:v>
      </x:c>
      <x:c r="F170" s="11" t="str">
        <x:v>Official #BookTok Top 20</x:v>
      </x:c>
      <x:c r="G170" s="11" t="str">
        <x:v>Media Control &amp; TikTok</x:v>
      </x:c>
      <x:c r="H170" s="11" t="n">
        <x:v>202312</x:v>
      </x:c>
      <x:c r="I170" s="11" t="str">
        <x:v>Complete</x:v>
      </x:c>
      <x:c r="J170" s="11" t="str">
        <x:v>Yes</x:v>
      </x:c>
    </x:row>
    <x:row r="171">
      <x:c r="A171" s="11" t="str">
        <x:v>2023-12</x:v>
      </x:c>
      <x:c r="B171" s="11" t="n">
        <x:v>10</x:v>
      </x:c>
      <x:c r="C171" s="11" t="str">
        <x:v>Das Kind in dir muss Heimat finden</x:v>
      </x:c>
      <x:c r="D171" s="11" t="str">
        <x:v>Das Kind in dir muss Heimat finden</x:v>
      </x:c>
      <x:c r="E171" s="11" t="str">
        <x:v>Stefanie Stahl</x:v>
      </x:c>
      <x:c r="F171" s="11" t="str">
        <x:v>Official #BookTok Top 20</x:v>
      </x:c>
      <x:c r="G171" s="11" t="str">
        <x:v>Media Control &amp; TikTok</x:v>
      </x:c>
      <x:c r="H171" s="11" t="n">
        <x:v>202312</x:v>
      </x:c>
      <x:c r="I171" s="11" t="str">
        <x:v>Complete</x:v>
      </x:c>
      <x:c r="J171" s="11" t="str">
        <x:v>Yes</x:v>
      </x:c>
    </x:row>
    <x:row r="172">
      <x:c r="A172" s="11" t="str">
        <x:v>2023-12</x:v>
      </x:c>
      <x:c r="B172" s="11" t="n">
        <x:v>11</x:v>
      </x:c>
      <x:c r="C172" s="11" t="str">
        <x:v>Fallen Princess</x:v>
      </x:c>
      <x:c r="D172" s="11" t="str">
        <x:v>Fallen Princess</x:v>
      </x:c>
      <x:c r="E172" s="11" t="str">
        <x:v>Mona Kasten</x:v>
      </x:c>
      <x:c r="F172" s="11" t="str">
        <x:v>Official #BookTok Top 20</x:v>
      </x:c>
      <x:c r="G172" s="11" t="str">
        <x:v>Media Control &amp; TikTok</x:v>
      </x:c>
      <x:c r="H172" s="11" t="n">
        <x:v>202312</x:v>
      </x:c>
      <x:c r="I172" s="11" t="str">
        <x:v>Complete</x:v>
      </x:c>
      <x:c r="J172" s="11" t="str">
        <x:v>Yes</x:v>
      </x:c>
    </x:row>
    <x:row r="173">
      <x:c r="A173" s="11" t="str">
        <x:v>2023-12</x:v>
      </x:c>
      <x:c r="B173" s="11" t="n">
        <x:v>12</x:v>
      </x:c>
      <x:c r="C173" s="11" t="str">
        <x:v>WiccaCreed Rache &amp; Feuer</x:v>
      </x:c>
      <x:c r="D173" s="11" t="str">
        <x:v>WiccaCreed Rache &amp; Feuer</x:v>
      </x:c>
      <x:c r="E173" s="11" t="str">
        <x:v>Marah Woolf</x:v>
      </x:c>
      <x:c r="F173" s="11" t="str">
        <x:v>Official #BookTok Top 20</x:v>
      </x:c>
      <x:c r="G173" s="11" t="str">
        <x:v>Media Control &amp; TikTok</x:v>
      </x:c>
      <x:c r="H173" s="11" t="n">
        <x:v>202312</x:v>
      </x:c>
      <x:c r="I173" s="11" t="str">
        <x:v>Complete</x:v>
      </x:c>
      <x:c r="J173" s="11" t="str">
        <x:v>Yes</x:v>
      </x:c>
    </x:row>
    <x:row r="174">
      <x:c r="A174" s="11" t="str">
        <x:v>2023-12</x:v>
      </x:c>
      <x:c r="B174" s="11" t="n">
        <x:v>13</x:v>
      </x:c>
      <x:c r="C174" s="11" t="str">
        <x:v>It starts with us - Nur noch einmal und für immer</x:v>
      </x:c>
      <x:c r="D174" s="11" t="str">
        <x:v>It starts with us - Nur noch einmal und für immer</x:v>
      </x:c>
      <x:c r="E174" s="11" t="str">
        <x:v>Colleen Hoover</x:v>
      </x:c>
      <x:c r="F174" s="11" t="str">
        <x:v>Official #BookTok Top 20</x:v>
      </x:c>
      <x:c r="G174" s="11" t="str">
        <x:v>Media Control &amp; TikTok</x:v>
      </x:c>
      <x:c r="H174" s="11" t="n">
        <x:v>202312</x:v>
      </x:c>
      <x:c r="I174" s="11" t="str">
        <x:v>Complete</x:v>
      </x:c>
      <x:c r="J174" s="11" t="str">
        <x:v>Yes</x:v>
      </x:c>
    </x:row>
    <x:row r="175">
      <x:c r="A175" s="11" t="str">
        <x:v>2023-12</x:v>
      </x:c>
      <x:c r="B175" s="11" t="n">
        <x:v>14</x:v>
      </x:c>
      <x:c r="C175" s="11" t="str">
        <x:v>101 Essays, die dein Leben verändern werden</x:v>
      </x:c>
      <x:c r="D175" s="11" t="str">
        <x:v>101 Essays, die dein Leben verändern werden</x:v>
      </x:c>
      <x:c r="E175" s="11" t="str">
        <x:v>Brianna Wiest</x:v>
      </x:c>
      <x:c r="F175" s="11" t="str">
        <x:v>Official #BookTok Top 20</x:v>
      </x:c>
      <x:c r="G175" s="11" t="str">
        <x:v>Media Control &amp; TikTok</x:v>
      </x:c>
      <x:c r="H175" s="11" t="n">
        <x:v>202312</x:v>
      </x:c>
      <x:c r="I175" s="11" t="str">
        <x:v>Complete</x:v>
      </x:c>
      <x:c r="J175" s="11" t="str">
        <x:v>Yes</x:v>
      </x:c>
    </x:row>
    <x:row r="176">
      <x:c r="A176" s="11" t="str">
        <x:v>2023-12</x:v>
      </x:c>
      <x:c r="B176" s="11" t="n">
        <x:v>15</x:v>
      </x:c>
      <x:c r="C176" s="11" t="str">
        <x:v>Nur noch ein einziges Mal</x:v>
      </x:c>
      <x:c r="D176" s="11" t="str">
        <x:v>Nur noch ein einziges Mal</x:v>
      </x:c>
      <x:c r="E176" s="11" t="str">
        <x:v>Colleen Hoover</x:v>
      </x:c>
      <x:c r="F176" s="11" t="str">
        <x:v>Official #BookTok Top 20</x:v>
      </x:c>
      <x:c r="G176" s="11" t="str">
        <x:v>Media Control &amp; TikTok</x:v>
      </x:c>
      <x:c r="H176" s="11" t="n">
        <x:v>202312</x:v>
      </x:c>
      <x:c r="I176" s="11" t="str">
        <x:v>Complete</x:v>
      </x:c>
      <x:c r="J176" s="11" t="str">
        <x:v>Yes</x:v>
      </x:c>
    </x:row>
    <x:row r="177">
      <x:c r="A177" s="11" t="str">
        <x:v>2023-12</x:v>
      </x:c>
      <x:c r="B177" s="11" t="n">
        <x:v>16</x:v>
      </x:c>
      <x:c r="C177" s="11" t="str">
        <x:v>Das Buch, von dem du dir wünschst, deine Eltern hätten es gelesen</x:v>
      </x:c>
      <x:c r="D177" s="11" t="str">
        <x:v>Das Buch, von dem du dir wünschst, deine Eltern hätten es gelesen</x:v>
      </x:c>
      <x:c r="E177" s="11" t="str">
        <x:v>Philippa Perry</x:v>
      </x:c>
      <x:c r="F177" s="11" t="str">
        <x:v>Official #BookTok Top 20</x:v>
      </x:c>
      <x:c r="G177" s="11" t="str">
        <x:v>Media Control &amp; TikTok</x:v>
      </x:c>
      <x:c r="H177" s="11" t="n">
        <x:v>202312</x:v>
      </x:c>
      <x:c r="I177" s="11" t="str">
        <x:v>Complete</x:v>
      </x:c>
      <x:c r="J177" s="11" t="str">
        <x:v>Yes</x:v>
      </x:c>
    </x:row>
    <x:row r="178">
      <x:c r="A178" s="11" t="str">
        <x:v>2023-12</x:v>
      </x:c>
      <x:c r="B178" s="11" t="n">
        <x:v>17</x:v>
      </x:c>
      <x:c r="C178" s="11" t="str">
        <x:v>New Wishes</x:v>
      </x:c>
      <x:c r="D178" s="11" t="str">
        <x:v>New Wishes</x:v>
      </x:c>
      <x:c r="E178" s="11" t="str">
        <x:v>Lilly Lucas</x:v>
      </x:c>
      <x:c r="F178" s="11" t="str">
        <x:v>Official #BookTok Top 20</x:v>
      </x:c>
      <x:c r="G178" s="11" t="str">
        <x:v>Media Control &amp; TikTok</x:v>
      </x:c>
      <x:c r="H178" s="11" t="n">
        <x:v>202312</x:v>
      </x:c>
      <x:c r="I178" s="11" t="str">
        <x:v>Complete</x:v>
      </x:c>
      <x:c r="J178" s="11" t="str">
        <x:v>Yes</x:v>
      </x:c>
    </x:row>
    <x:row r="179">
      <x:c r="A179" s="11" t="str">
        <x:v>2023-12</x:v>
      </x:c>
      <x:c r="B179" s="11" t="n">
        <x:v>18</x:v>
      </x:c>
      <x:c r="C179" s="11" t="str">
        <x:v>Hard Land</x:v>
      </x:c>
      <x:c r="D179" s="11" t="str">
        <x:v>Hard Land</x:v>
      </x:c>
      <x:c r="E179" s="11" t="str">
        <x:v>Benedict Wells</x:v>
      </x:c>
      <x:c r="F179" s="11" t="str">
        <x:v>Official #BookTok Top 20</x:v>
      </x:c>
      <x:c r="G179" s="11" t="str">
        <x:v>Media Control &amp; TikTok</x:v>
      </x:c>
      <x:c r="H179" s="11" t="n">
        <x:v>202312</x:v>
      </x:c>
      <x:c r="I179" s="11" t="str">
        <x:v>Complete</x:v>
      </x:c>
      <x:c r="J179" s="11" t="str">
        <x:v>Yes</x:v>
      </x:c>
    </x:row>
    <x:row r="180">
      <x:c r="A180" s="11" t="str">
        <x:v>2023-12</x:v>
      </x:c>
      <x:c r="B180" s="11" t="n">
        <x:v>19</x:v>
      </x:c>
      <x:c r="C180" s="11" t="str">
        <x:v>Twisted Dreams</x:v>
      </x:c>
      <x:c r="D180" s="11" t="str">
        <x:v>Twisted Dreams</x:v>
      </x:c>
      <x:c r="E180" s="11" t="str">
        <x:v>Ana Huang</x:v>
      </x:c>
      <x:c r="F180" s="11" t="str">
        <x:v>Official #BookTok Top 20</x:v>
      </x:c>
      <x:c r="G180" s="11" t="str">
        <x:v>Media Control &amp; TikTok</x:v>
      </x:c>
      <x:c r="H180" s="11" t="n">
        <x:v>202312</x:v>
      </x:c>
      <x:c r="I180" s="11" t="str">
        <x:v>Complete</x:v>
      </x:c>
      <x:c r="J180" s="11" t="str">
        <x:v>Yes</x:v>
      </x:c>
    </x:row>
    <x:row r="181">
      <x:c r="A181" s="11" t="str">
        <x:v>2023-12</x:v>
      </x:c>
      <x:c r="B181" s="11" t="n">
        <x:v>20</x:v>
      </x:c>
      <x:c r="C181" s="11" t="str">
        <x:v>The Big Five for Life</x:v>
      </x:c>
      <x:c r="D181" s="11" t="str">
        <x:v>The Big Five for Life</x:v>
      </x:c>
      <x:c r="E181" s="11" t="str">
        <x:v>John Strelecky</x:v>
      </x:c>
      <x:c r="F181" s="11" t="str">
        <x:v>Official #BookTok Top 20</x:v>
      </x:c>
      <x:c r="G181" s="11" t="str">
        <x:v>Media Control &amp; TikTok</x:v>
      </x:c>
      <x:c r="H181" s="11" t="n">
        <x:v>202312</x:v>
      </x:c>
      <x:c r="I181" s="11" t="str">
        <x:v>Complete</x:v>
      </x:c>
      <x:c r="J181" s="11" t="str">
        <x:v>Yes</x:v>
      </x:c>
    </x:row>
    <x:row r="182">
      <x:c r="A182" s="11" t="str">
        <x:v>2024-01</x:v>
      </x:c>
      <x:c r="B182" s="11" t="n">
        <x:v>1</x:v>
      </x:c>
      <x:c r="C182" s="11" t="str">
        <x:v>Die 1%-Methode - Minimale Veränderung, maximale Wirkung</x:v>
      </x:c>
      <x:c r="D182" s="11" t="str">
        <x:v>Die 1%-Methode - Minimale Veränderung, maximale Wirkung</x:v>
      </x:c>
      <x:c r="E182" s="11" t="str">
        <x:v>James Clear</x:v>
      </x:c>
      <x:c r="F182" s="11" t="str">
        <x:v>Official #BookTok Top 20</x:v>
      </x:c>
      <x:c r="G182" s="11" t="str">
        <x:v>Media Control &amp; TikTok</x:v>
      </x:c>
      <x:c r="H182" s="11" t="n">
        <x:v>202401</x:v>
      </x:c>
      <x:c r="I182" s="11" t="str">
        <x:v>Complete</x:v>
      </x:c>
      <x:c r="J182" s="11" t="str">
        <x:v>Yes</x:v>
      </x:c>
    </x:row>
    <x:row r="183">
      <x:c r="A183" s="11" t="str">
        <x:v>2024-01</x:v>
      </x:c>
      <x:c r="B183" s="11" t="n">
        <x:v>2</x:v>
      </x:c>
      <x:c r="C183" s="11" t="str">
        <x:v>Das Kind in dir muss Heimat finden</x:v>
      </x:c>
      <x:c r="D183" s="11" t="str">
        <x:v>Das Kind in dir muss Heimat finden</x:v>
      </x:c>
      <x:c r="E183" s="11" t="str">
        <x:v>Stefanie Stahl</x:v>
      </x:c>
      <x:c r="F183" s="11" t="str">
        <x:v>Official #BookTok Top 20</x:v>
      </x:c>
      <x:c r="G183" s="11" t="str">
        <x:v>Media Control &amp; TikTok</x:v>
      </x:c>
      <x:c r="H183" s="11" t="n">
        <x:v>202401</x:v>
      </x:c>
      <x:c r="I183" s="11" t="str">
        <x:v>Complete</x:v>
      </x:c>
      <x:c r="J183" s="11" t="str">
        <x:v>Yes</x:v>
      </x:c>
    </x:row>
    <x:row r="184">
      <x:c r="A184" s="11" t="str">
        <x:v>2024-01</x:v>
      </x:c>
      <x:c r="B184" s="11" t="n">
        <x:v>3</x:v>
      </x:c>
      <x:c r="C184" s="11" t="str">
        <x:v>Icebreaker</x:v>
      </x:c>
      <x:c r="D184" s="11" t="str">
        <x:v>Icebreaker</x:v>
      </x:c>
      <x:c r="E184" s="11" t="str">
        <x:v>Hannah Grace</x:v>
      </x:c>
      <x:c r="F184" s="11" t="str">
        <x:v>Official #BookTok Top 20</x:v>
      </x:c>
      <x:c r="G184" s="11" t="str">
        <x:v>Media Control &amp; TikTok</x:v>
      </x:c>
      <x:c r="H184" s="11" t="n">
        <x:v>202401</x:v>
      </x:c>
      <x:c r="I184" s="11" t="str">
        <x:v>Complete</x:v>
      </x:c>
      <x:c r="J184" s="11" t="str">
        <x:v>Yes</x:v>
      </x:c>
    </x:row>
    <x:row r="185">
      <x:c r="A185" s="11" t="str">
        <x:v>2024-01</x:v>
      </x:c>
      <x:c r="B185" s="11" t="n">
        <x:v>4</x:v>
      </x:c>
      <x:c r="C185" s="11" t="str">
        <x:v>Die Mitternachtsbibliothek</x:v>
      </x:c>
      <x:c r="D185" s="11" t="str">
        <x:v>Die Mitternachtsbibliothek</x:v>
      </x:c>
      <x:c r="E185" s="11" t="str">
        <x:v>Matt Haig</x:v>
      </x:c>
      <x:c r="F185" s="11" t="str">
        <x:v>Official #BookTok Top 20</x:v>
      </x:c>
      <x:c r="G185" s="11" t="str">
        <x:v>Media Control &amp; TikTok</x:v>
      </x:c>
      <x:c r="H185" s="11" t="n">
        <x:v>202401</x:v>
      </x:c>
      <x:c r="I185" s="11" t="str">
        <x:v>Complete</x:v>
      </x:c>
      <x:c r="J185" s="11" t="str">
        <x:v>Yes</x:v>
      </x:c>
    </x:row>
    <x:row r="186">
      <x:c r="A186" s="11" t="str">
        <x:v>2024-01</x:v>
      </x:c>
      <x:c r="B186" s="11" t="n">
        <x:v>5</x:v>
      </x:c>
      <x:c r="C186" s="11" t="str">
        <x:v>Coldhart - Strong &amp; Weak</x:v>
      </x:c>
      <x:c r="D186" s="11" t="str">
        <x:v>Coldhart - Strong &amp; Weak</x:v>
      </x:c>
      <x:c r="E186" s="11" t="str">
        <x:v>Lena Kiefer</x:v>
      </x:c>
      <x:c r="F186" s="11" t="str">
        <x:v>Official #BookTok Top 20</x:v>
      </x:c>
      <x:c r="G186" s="11" t="str">
        <x:v>Media Control &amp; TikTok</x:v>
      </x:c>
      <x:c r="H186" s="11" t="n">
        <x:v>202401</x:v>
      </x:c>
      <x:c r="I186" s="11" t="str">
        <x:v>Complete</x:v>
      </x:c>
      <x:c r="J186" s="11" t="str">
        <x:v>Yes</x:v>
      </x:c>
    </x:row>
    <x:row r="187">
      <x:c r="A187" s="11" t="str">
        <x:v>2024-01</x:v>
      </x:c>
      <x:c r="B187" s="11" t="n">
        <x:v>6</x:v>
      </x:c>
      <x:c r="C187" s="11" t="str">
        <x:v>Belladonna - Die Berührung des Todes</x:v>
      </x:c>
      <x:c r="D187" s="11" t="str">
        <x:v>Belladonna - Die Berührung des Todes</x:v>
      </x:c>
      <x:c r="E187" s="11" t="str">
        <x:v>Adalyn Grace</x:v>
      </x:c>
      <x:c r="F187" s="11" t="str">
        <x:v>Official #BookTok Top 20</x:v>
      </x:c>
      <x:c r="G187" s="11" t="str">
        <x:v>Media Control &amp; TikTok</x:v>
      </x:c>
      <x:c r="H187" s="11" t="n">
        <x:v>202401</x:v>
      </x:c>
      <x:c r="I187" s="11" t="str">
        <x:v>Complete</x:v>
      </x:c>
      <x:c r="J187" s="11" t="str">
        <x:v>Yes</x:v>
      </x:c>
    </x:row>
    <x:row r="188">
      <x:c r="A188" s="11" t="str">
        <x:v>2024-01</x:v>
      </x:c>
      <x:c r="B188" s="11" t="n">
        <x:v>7</x:v>
      </x:c>
      <x:c r="C188" s="11" t="str">
        <x:v>Nur noch ein einziges Mal</x:v>
      </x:c>
      <x:c r="D188" s="11" t="str">
        <x:v>Nur noch ein einziges Mal</x:v>
      </x:c>
      <x:c r="E188" s="11" t="str">
        <x:v>Colleen Hoover</x:v>
      </x:c>
      <x:c r="F188" s="11" t="str">
        <x:v>Official #BookTok Top 20</x:v>
      </x:c>
      <x:c r="G188" s="11" t="str">
        <x:v>Media Control &amp; TikTok</x:v>
      </x:c>
      <x:c r="H188" s="11" t="n">
        <x:v>202401</x:v>
      </x:c>
      <x:c r="I188" s="11" t="str">
        <x:v>Complete</x:v>
      </x:c>
      <x:c r="J188" s="11" t="str">
        <x:v>Yes</x:v>
      </x:c>
    </x:row>
    <x:row r="189">
      <x:c r="A189" s="11" t="str">
        <x:v>2024-01</x:v>
      </x:c>
      <x:c r="B189" s="11" t="n">
        <x:v>8</x:v>
      </x:c>
      <x:c r="C189" s="11" t="str">
        <x:v>It starts with us - Nur noch einmal und für immer</x:v>
      </x:c>
      <x:c r="D189" s="11" t="str">
        <x:v>It starts with us - Nur noch einmal und für immer</x:v>
      </x:c>
      <x:c r="E189" s="11" t="str">
        <x:v>Colleen Hoover</x:v>
      </x:c>
      <x:c r="F189" s="11" t="str">
        <x:v>Official #BookTok Top 20</x:v>
      </x:c>
      <x:c r="G189" s="11" t="str">
        <x:v>Media Control &amp; TikTok</x:v>
      </x:c>
      <x:c r="H189" s="11" t="n">
        <x:v>202401</x:v>
      </x:c>
      <x:c r="I189" s="11" t="str">
        <x:v>Complete</x:v>
      </x:c>
      <x:c r="J189" s="11" t="str">
        <x:v>Yes</x:v>
      </x:c>
    </x:row>
    <x:row r="190">
      <x:c r="A190" s="11" t="str">
        <x:v>2024-01</x:v>
      </x:c>
      <x:c r="B190" s="11" t="n">
        <x:v>9</x:v>
      </x:c>
      <x:c r="C190" s="11" t="str">
        <x:v>Belladaire Academy of Athletes - Rivals</x:v>
      </x:c>
      <x:c r="D190" s="11" t="str">
        <x:v>Belladaire Academy of Athletes - Rivals</x:v>
      </x:c>
      <x:c r="E190" s="11" t="str">
        <x:v>Maren Vivien Haase</x:v>
      </x:c>
      <x:c r="F190" s="11" t="str">
        <x:v>Official #BookTok Top 20</x:v>
      </x:c>
      <x:c r="G190" s="11" t="str">
        <x:v>Media Control &amp; TikTok</x:v>
      </x:c>
      <x:c r="H190" s="11" t="n">
        <x:v>202401</x:v>
      </x:c>
      <x:c r="I190" s="11" t="str">
        <x:v>Complete</x:v>
      </x:c>
      <x:c r="J190" s="11" t="str">
        <x:v>Yes</x:v>
      </x:c>
    </x:row>
    <x:row r="191">
      <x:c r="A191" s="11" t="str">
        <x:v>2024-01</x:v>
      </x:c>
      <x:c r="B191" s="11" t="n">
        <x:v>10</x:v>
      </x:c>
      <x:c r="C191" s="11" t="str">
        <x:v>Twisted Dreams</x:v>
      </x:c>
      <x:c r="D191" s="11" t="str">
        <x:v>Twisted Dreams</x:v>
      </x:c>
      <x:c r="E191" s="11" t="str">
        <x:v>Ana Huang</x:v>
      </x:c>
      <x:c r="F191" s="11" t="str">
        <x:v>Official #BookTok Top 20</x:v>
      </x:c>
      <x:c r="G191" s="11" t="str">
        <x:v>Media Control &amp; TikTok</x:v>
      </x:c>
      <x:c r="H191" s="11" t="n">
        <x:v>202401</x:v>
      </x:c>
      <x:c r="I191" s="11" t="str">
        <x:v>Complete</x:v>
      </x:c>
      <x:c r="J191" s="11" t="str">
        <x:v>Yes</x:v>
      </x:c>
    </x:row>
    <x:row r="192">
      <x:c r="A192" s="11" t="str">
        <x:v>2024-01</x:v>
      </x:c>
      <x:c r="B192" s="11" t="n">
        <x:v>11</x:v>
      </x:c>
      <x:c r="C192" s="11" t="str">
        <x:v>101 Essays, die dein Leben verändern werden</x:v>
      </x:c>
      <x:c r="D192" s="11" t="str">
        <x:v>101 Essays, die dein Leben verändern werden</x:v>
      </x:c>
      <x:c r="E192" s="11" t="str">
        <x:v>Brianna Wiest</x:v>
      </x:c>
      <x:c r="F192" s="11" t="str">
        <x:v>Official #BookTok Top 20</x:v>
      </x:c>
      <x:c r="G192" s="11" t="str">
        <x:v>Media Control &amp; TikTok</x:v>
      </x:c>
      <x:c r="H192" s="11" t="n">
        <x:v>202401</x:v>
      </x:c>
      <x:c r="I192" s="11" t="str">
        <x:v>Complete</x:v>
      </x:c>
      <x:c r="J192" s="11" t="str">
        <x:v>Yes</x:v>
      </x:c>
    </x:row>
    <x:row r="193">
      <x:c r="A193" s="11" t="str">
        <x:v>2024-01</x:v>
      </x:c>
      <x:c r="B193" s="11" t="n">
        <x:v>12</x:v>
      </x:c>
      <x:c r="C193" s="11" t="str">
        <x:v>The Queen Will Rise</x:v>
      </x:c>
      <x:c r="D193" s="11" t="str">
        <x:v>The Queen Will Rise</x:v>
      </x:c>
      <x:c r="E193" s="11" t="str">
        <x:v>Marie Niehoff</x:v>
      </x:c>
      <x:c r="F193" s="11" t="str">
        <x:v>Official #BookTok Top 20</x:v>
      </x:c>
      <x:c r="G193" s="11" t="str">
        <x:v>Media Control &amp; TikTok</x:v>
      </x:c>
      <x:c r="H193" s="11" t="n">
        <x:v>202401</x:v>
      </x:c>
      <x:c r="I193" s="11" t="str">
        <x:v>Complete</x:v>
      </x:c>
      <x:c r="J193" s="11" t="str">
        <x:v>Yes</x:v>
      </x:c>
    </x:row>
    <x:row r="194">
      <x:c r="A194" s="11" t="str">
        <x:v>2024-01</x:v>
      </x:c>
      <x:c r="B194" s="11" t="n">
        <x:v>13</x:v>
      </x:c>
      <x:c r="C194" s="11" t="str">
        <x:v>Verity</x:v>
      </x:c>
      <x:c r="D194" s="11" t="str">
        <x:v>Verity</x:v>
      </x:c>
      <x:c r="E194" s="11" t="str">
        <x:v>Colleen Hoover</x:v>
      </x:c>
      <x:c r="F194" s="11" t="str">
        <x:v>Official #BookTok Top 20</x:v>
      </x:c>
      <x:c r="G194" s="11" t="str">
        <x:v>Media Control &amp; TikTok</x:v>
      </x:c>
      <x:c r="H194" s="11" t="n">
        <x:v>202401</x:v>
      </x:c>
      <x:c r="I194" s="11" t="str">
        <x:v>Complete</x:v>
      </x:c>
      <x:c r="J194" s="11" t="str">
        <x:v>Yes</x:v>
      </x:c>
    </x:row>
    <x:row r="195">
      <x:c r="A195" s="11" t="str">
        <x:v>2024-01</x:v>
      </x:c>
      <x:c r="B195" s="11" t="n">
        <x:v>14</x:v>
      </x:c>
      <x:c r="C195" s="11" t="str">
        <x:v>22 Bahnen</x:v>
      </x:c>
      <x:c r="D195" s="11" t="str">
        <x:v>22 Bahnen</x:v>
      </x:c>
      <x:c r="E195" s="11" t="str">
        <x:v>Caroline Wahl</x:v>
      </x:c>
      <x:c r="F195" s="11" t="str">
        <x:v>Official #BookTok Top 20</x:v>
      </x:c>
      <x:c r="G195" s="11" t="str">
        <x:v>Media Control &amp; TikTok</x:v>
      </x:c>
      <x:c r="H195" s="11" t="n">
        <x:v>202401</x:v>
      </x:c>
      <x:c r="I195" s="11" t="str">
        <x:v>Complete</x:v>
      </x:c>
      <x:c r="J195" s="11" t="str">
        <x:v>Yes</x:v>
      </x:c>
    </x:row>
    <x:row r="196">
      <x:c r="A196" s="11" t="str">
        <x:v>2024-01</x:v>
      </x:c>
      <x:c r="B196" s="11" t="n">
        <x:v>15</x:v>
      </x:c>
      <x:c r="C196" s="11" t="str">
        <x:v>Fourth Wing - Flammengeküsst</x:v>
      </x:c>
      <x:c r="D196" s="11" t="str">
        <x:v>Fourth Wing - Flammengeküsst</x:v>
      </x:c>
      <x:c r="E196" s="11" t="str">
        <x:v>Rebecca Yarros</x:v>
      </x:c>
      <x:c r="F196" s="11" t="str">
        <x:v>Official #BookTok Top 20</x:v>
      </x:c>
      <x:c r="G196" s="11" t="str">
        <x:v>Media Control &amp; TikTok</x:v>
      </x:c>
      <x:c r="H196" s="11" t="n">
        <x:v>202401</x:v>
      </x:c>
      <x:c r="I196" s="11" t="str">
        <x:v>Complete</x:v>
      </x:c>
      <x:c r="J196" s="11" t="str">
        <x:v>Yes</x:v>
      </x:c>
    </x:row>
    <x:row r="197">
      <x:c r="A197" s="11" t="str">
        <x:v>2024-01</x:v>
      </x:c>
      <x:c r="B197" s="11" t="n">
        <x:v>16</x:v>
      </x:c>
      <x:c r="C197" s="11" t="str">
        <x:v>Very Bad Revenge</x:v>
      </x:c>
      <x:c r="D197" s="11" t="str">
        <x:v>Very Bad Revenge</x:v>
      </x:c>
      <x:c r="E197" s="11" t="str">
        <x:v>J. S. Wonda</x:v>
      </x:c>
      <x:c r="F197" s="11" t="str">
        <x:v>Official #BookTok Top 20</x:v>
      </x:c>
      <x:c r="G197" s="11" t="str">
        <x:v>Media Control &amp; TikTok</x:v>
      </x:c>
      <x:c r="H197" s="11" t="n">
        <x:v>202401</x:v>
      </x:c>
      <x:c r="I197" s="11" t="str">
        <x:v>Complete</x:v>
      </x:c>
      <x:c r="J197" s="11" t="str">
        <x:v>Yes</x:v>
      </x:c>
    </x:row>
    <x:row r="198">
      <x:c r="A198" s="11" t="str">
        <x:v>2024-01</x:v>
      </x:c>
      <x:c r="B198" s="11" t="n">
        <x:v>17</x:v>
      </x:c>
      <x:c r="C198" s="11" t="str">
        <x:v>Murtagh - Eine dunkle Bedrohung</x:v>
      </x:c>
      <x:c r="D198" s="11" t="str">
        <x:v>Murtagh - Eine dunkle Bedrohung</x:v>
      </x:c>
      <x:c r="E198" s="11" t="str">
        <x:v>Christopher Paolini</x:v>
      </x:c>
      <x:c r="F198" s="11" t="str">
        <x:v>Official #BookTok Top 20</x:v>
      </x:c>
      <x:c r="G198" s="11" t="str">
        <x:v>Media Control &amp; TikTok</x:v>
      </x:c>
      <x:c r="H198" s="11" t="n">
        <x:v>202401</x:v>
      </x:c>
      <x:c r="I198" s="11" t="str">
        <x:v>Complete</x:v>
      </x:c>
      <x:c r="J198" s="11" t="str">
        <x:v>Yes</x:v>
      </x:c>
    </x:row>
    <x:row r="199">
      <x:c r="A199" s="11" t="str">
        <x:v>2024-01</x:v>
      </x:c>
      <x:c r="B199" s="11" t="n">
        <x:v>18</x:v>
      </x:c>
      <x:c r="C199" s="11" t="str">
        <x:v>Fallen Princess</x:v>
      </x:c>
      <x:c r="D199" s="11" t="str">
        <x:v>Fallen Princess</x:v>
      </x:c>
      <x:c r="E199" s="11" t="str">
        <x:v>Mona Kasten</x:v>
      </x:c>
      <x:c r="F199" s="11" t="str">
        <x:v>Official #BookTok Top 20</x:v>
      </x:c>
      <x:c r="G199" s="11" t="str">
        <x:v>Media Control &amp; TikTok</x:v>
      </x:c>
      <x:c r="H199" s="11" t="n">
        <x:v>202401</x:v>
      </x:c>
      <x:c r="I199" s="11" t="str">
        <x:v>Complete</x:v>
      </x:c>
      <x:c r="J199" s="11" t="str">
        <x:v>Yes</x:v>
      </x:c>
    </x:row>
    <x:row r="200">
      <x:c r="A200" s="11" t="str">
        <x:v>2024-01</x:v>
      </x:c>
      <x:c r="B200" s="11" t="n">
        <x:v>19</x:v>
      </x:c>
      <x:c r="C200" s="11" t="str">
        <x:v>Iron Flame - Flammengeküsst</x:v>
      </x:c>
      <x:c r="D200" s="11" t="str">
        <x:v>Iron Flame - Flammengeküsst</x:v>
      </x:c>
      <x:c r="E200" s="11" t="str">
        <x:v>Rebecca Yarros</x:v>
      </x:c>
      <x:c r="F200" s="11" t="str">
        <x:v>Official #BookTok Top 20</x:v>
      </x:c>
      <x:c r="G200" s="11" t="str">
        <x:v>Media Control &amp; TikTok</x:v>
      </x:c>
      <x:c r="H200" s="11" t="n">
        <x:v>202401</x:v>
      </x:c>
      <x:c r="I200" s="11" t="str">
        <x:v>Complete</x:v>
      </x:c>
      <x:c r="J200" s="11" t="str">
        <x:v>Yes</x:v>
      </x:c>
    </x:row>
    <x:row r="201">
      <x:c r="A201" s="11" t="str">
        <x:v>2024-01</x:v>
      </x:c>
      <x:c r="B201" s="11" t="n">
        <x:v>20</x:v>
      </x:c>
      <x:c r="C201" s="11" t="str">
        <x:v>Power: Die 48 Gesetze der Macht</x:v>
      </x:c>
      <x:c r="D201" s="11" t="str">
        <x:v>Power: Die 48 Gesetze der Macht</x:v>
      </x:c>
      <x:c r="E201" s="11" t="str">
        <x:v>Robert Greene</x:v>
      </x:c>
      <x:c r="F201" s="11" t="str">
        <x:v>Official #BookTok Top 20</x:v>
      </x:c>
      <x:c r="G201" s="11" t="str">
        <x:v>Media Control &amp; TikTok</x:v>
      </x:c>
      <x:c r="H201" s="11" t="n">
        <x:v>202401</x:v>
      </x:c>
      <x:c r="I201" s="11" t="str">
        <x:v>Complete</x:v>
      </x:c>
      <x:c r="J201" s="11" t="str">
        <x:v>Yes</x:v>
      </x:c>
    </x:row>
    <x:row r="202">
      <x:c r="A202" s="11" t="str">
        <x:v>2024-02</x:v>
      </x:c>
      <x:c r="B202" s="11" t="n">
        <x:v>1</x:v>
      </x:c>
      <x:c r="C202" s="11" t="str">
        <x:v>The Serpent and the Wings of Night (Crowns of Nyaxia 1)</x:v>
      </x:c>
      <x:c r="D202" s="11" t="str">
        <x:v>The Serpent and the Wings of Night (Crowns of Nyaxia 1)</x:v>
      </x:c>
      <x:c r="E202" s="11" t="str">
        <x:v>Carissa Broadbent</x:v>
      </x:c>
      <x:c r="F202" s="11" t="str">
        <x:v>Official #BookTok Top 20</x:v>
      </x:c>
      <x:c r="G202" s="11" t="str">
        <x:v>Media Control &amp; TikTok</x:v>
      </x:c>
      <x:c r="H202" s="11" t="n">
        <x:v>202402</x:v>
      </x:c>
      <x:c r="I202" s="11" t="str">
        <x:v>Complete</x:v>
      </x:c>
      <x:c r="J202" s="11" t="str">
        <x:v>Yes</x:v>
      </x:c>
    </x:row>
    <x:row r="203">
      <x:c r="A203" s="11" t="str">
        <x:v>2024-02</x:v>
      </x:c>
      <x:c r="B203" s="11" t="n">
        <x:v>2</x:v>
      </x:c>
      <x:c r="C203" s="11" t="str">
        <x:v>Die 1%-Methode - Minimale Veränderung, maximale Wirkung</x:v>
      </x:c>
      <x:c r="D203" s="11" t="str">
        <x:v>Die 1%-Methode - Minimale Veränderung, maximale Wirkung</x:v>
      </x:c>
      <x:c r="E203" s="11" t="str">
        <x:v>James Clear</x:v>
      </x:c>
      <x:c r="F203" s="11" t="str">
        <x:v>Official #BookTok Top 20</x:v>
      </x:c>
      <x:c r="G203" s="11" t="str">
        <x:v>Media Control &amp; TikTok</x:v>
      </x:c>
      <x:c r="H203" s="11" t="n">
        <x:v>202402</x:v>
      </x:c>
      <x:c r="I203" s="11" t="str">
        <x:v>Complete</x:v>
      </x:c>
      <x:c r="J203" s="11" t="str">
        <x:v>Yes</x:v>
      </x:c>
    </x:row>
    <x:row r="204">
      <x:c r="A204" s="11" t="str">
        <x:v>2024-02</x:v>
      </x:c>
      <x:c r="B204" s="11" t="n">
        <x:v>3</x:v>
      </x:c>
      <x:c r="C204" s="11" t="str">
        <x:v>It starts with us - Nur noch einmal und für immer</x:v>
      </x:c>
      <x:c r="D204" s="11" t="str">
        <x:v>It starts with us - Nur noch einmal und für immer</x:v>
      </x:c>
      <x:c r="E204" s="11" t="str">
        <x:v>Colleen Hoover</x:v>
      </x:c>
      <x:c r="F204" s="11" t="str">
        <x:v>Official #BookTok Top 20</x:v>
      </x:c>
      <x:c r="G204" s="11" t="str">
        <x:v>Media Control &amp; TikTok</x:v>
      </x:c>
      <x:c r="H204" s="11" t="n">
        <x:v>202402</x:v>
      </x:c>
      <x:c r="I204" s="11" t="str">
        <x:v>Complete</x:v>
      </x:c>
      <x:c r="J204" s="11" t="str">
        <x:v>Yes</x:v>
      </x:c>
    </x:row>
    <x:row r="205">
      <x:c r="A205" s="11" t="str">
        <x:v>2024-02</x:v>
      </x:c>
      <x:c r="B205" s="11" t="n">
        <x:v>4</x:v>
      </x:c>
      <x:c r="C205" s="11" t="str">
        <x:v>Bride - Die unergründliche Übernatürlichkeit der Liebe</x:v>
      </x:c>
      <x:c r="D205" s="11" t="str">
        <x:v>Bride - Die unergründliche Übernatürlichkeit der Liebe</x:v>
      </x:c>
      <x:c r="E205" s="11" t="str">
        <x:v>Ali Hazelwood</x:v>
      </x:c>
      <x:c r="F205" s="11" t="str">
        <x:v>Official #BookTok Top 20</x:v>
      </x:c>
      <x:c r="G205" s="11" t="str">
        <x:v>Media Control &amp; TikTok</x:v>
      </x:c>
      <x:c r="H205" s="11" t="n">
        <x:v>202402</x:v>
      </x:c>
      <x:c r="I205" s="11" t="str">
        <x:v>Complete</x:v>
      </x:c>
      <x:c r="J205" s="11" t="str">
        <x:v>Yes</x:v>
      </x:c>
    </x:row>
    <x:row r="206">
      <x:c r="A206" s="11" t="str">
        <x:v>2024-02</x:v>
      </x:c>
      <x:c r="B206" s="11" t="n">
        <x:v>5</x:v>
      </x:c>
      <x:c r="C206" s="11" t="str">
        <x:v>Die Mitternachtsbibliothek</x:v>
      </x:c>
      <x:c r="D206" s="11" t="str">
        <x:v>Die Mitternachtsbibliothek</x:v>
      </x:c>
      <x:c r="E206" s="11" t="str">
        <x:v>Matt Haig</x:v>
      </x:c>
      <x:c r="F206" s="11" t="str">
        <x:v>Official #BookTok Top 20</x:v>
      </x:c>
      <x:c r="G206" s="11" t="str">
        <x:v>Media Control &amp; TikTok</x:v>
      </x:c>
      <x:c r="H206" s="11" t="n">
        <x:v>202402</x:v>
      </x:c>
      <x:c r="I206" s="11" t="str">
        <x:v>Complete</x:v>
      </x:c>
      <x:c r="J206" s="11" t="str">
        <x:v>Yes</x:v>
      </x:c>
    </x:row>
    <x:row r="207">
      <x:c r="A207" s="11" t="str">
        <x:v>2024-02</x:v>
      </x:c>
      <x:c r="B207" s="11" t="n">
        <x:v>6</x:v>
      </x:c>
      <x:c r="C207" s="11" t="str">
        <x:v>Das Kind in dir muss Heimat finden</x:v>
      </x:c>
      <x:c r="D207" s="11" t="str">
        <x:v>Das Kind in dir muss Heimat finden</x:v>
      </x:c>
      <x:c r="E207" s="11" t="str">
        <x:v>Stefanie Stahl</x:v>
      </x:c>
      <x:c r="F207" s="11" t="str">
        <x:v>Official #BookTok Top 20</x:v>
      </x:c>
      <x:c r="G207" s="11" t="str">
        <x:v>Media Control &amp; TikTok</x:v>
      </x:c>
      <x:c r="H207" s="11" t="n">
        <x:v>202402</x:v>
      </x:c>
      <x:c r="I207" s="11" t="str">
        <x:v>Complete</x:v>
      </x:c>
      <x:c r="J207" s="11" t="str">
        <x:v>Yes</x:v>
      </x:c>
    </x:row>
    <x:row r="208">
      <x:c r="A208" s="11" t="str">
        <x:v>2024-02</x:v>
      </x:c>
      <x:c r="B208" s="11" t="n">
        <x:v>7</x:v>
      </x:c>
      <x:c r="C208" s="11" t="str">
        <x:v>Icebreaker</x:v>
      </x:c>
      <x:c r="D208" s="11" t="str">
        <x:v>Icebreaker</x:v>
      </x:c>
      <x:c r="E208" s="11" t="str">
        <x:v>Hannah Grace</x:v>
      </x:c>
      <x:c r="F208" s="11" t="str">
        <x:v>Official #BookTok Top 20</x:v>
      </x:c>
      <x:c r="G208" s="11" t="str">
        <x:v>Media Control &amp; TikTok</x:v>
      </x:c>
      <x:c r="H208" s="11" t="n">
        <x:v>202402</x:v>
      </x:c>
      <x:c r="I208" s="11" t="str">
        <x:v>Complete</x:v>
      </x:c>
      <x:c r="J208" s="11" t="str">
        <x:v>Yes</x:v>
      </x:c>
    </x:row>
    <x:row r="209">
      <x:c r="A209" s="11" t="str">
        <x:v>2024-02</x:v>
      </x:c>
      <x:c r="B209" s="11" t="n">
        <x:v>8</x:v>
      </x:c>
      <x:c r="C209" s="11" t="str">
        <x:v>Infinity Falling - Change My Mind</x:v>
      </x:c>
      <x:c r="D209" s="11" t="str">
        <x:v>Infinity Falling - Change My Mind</x:v>
      </x:c>
      <x:c r="E209" s="11" t="str">
        <x:v>Sarah Sprinz</x:v>
      </x:c>
      <x:c r="F209" s="11" t="str">
        <x:v>Official #BookTok Top 20</x:v>
      </x:c>
      <x:c r="G209" s="11" t="str">
        <x:v>Media Control &amp; TikTok</x:v>
      </x:c>
      <x:c r="H209" s="11" t="n">
        <x:v>202402</x:v>
      </x:c>
      <x:c r="I209" s="11" t="str">
        <x:v>Complete</x:v>
      </x:c>
      <x:c r="J209" s="11" t="str">
        <x:v>Yes</x:v>
      </x:c>
    </x:row>
    <x:row r="210">
      <x:c r="A210" s="11" t="str">
        <x:v>2024-02</x:v>
      </x:c>
      <x:c r="B210" s="11" t="n">
        <x:v>9</x:v>
      </x:c>
      <x:c r="C210" s="11" t="str">
        <x:v>Very Bad Revenge</x:v>
      </x:c>
      <x:c r="D210" s="11" t="str">
        <x:v>Very Bad Revenge</x:v>
      </x:c>
      <x:c r="E210" s="11" t="str">
        <x:v>J. S. Wonda</x:v>
      </x:c>
      <x:c r="F210" s="11" t="str">
        <x:v>Official #BookTok Top 20</x:v>
      </x:c>
      <x:c r="G210" s="11" t="str">
        <x:v>Media Control &amp; TikTok</x:v>
      </x:c>
      <x:c r="H210" s="11" t="n">
        <x:v>202402</x:v>
      </x:c>
      <x:c r="I210" s="11" t="str">
        <x:v>Complete</x:v>
      </x:c>
      <x:c r="J210" s="11" t="str">
        <x:v>Yes</x:v>
      </x:c>
    </x:row>
    <x:row r="211">
      <x:c r="A211" s="11" t="str">
        <x:v>2024-02</x:v>
      </x:c>
      <x:c r="B211" s="11" t="n">
        <x:v>10</x:v>
      </x:c>
      <x:c r="C211" s="11" t="str">
        <x:v>Nur noch ein einziges Mal</x:v>
      </x:c>
      <x:c r="D211" s="11" t="str">
        <x:v>Nur noch ein einziges Mal</x:v>
      </x:c>
      <x:c r="E211" s="11" t="str">
        <x:v>Colleen Hoover</x:v>
      </x:c>
      <x:c r="F211" s="11" t="str">
        <x:v>Official #BookTok Top 20</x:v>
      </x:c>
      <x:c r="G211" s="11" t="str">
        <x:v>Media Control &amp; TikTok</x:v>
      </x:c>
      <x:c r="H211" s="11" t="n">
        <x:v>202402</x:v>
      </x:c>
      <x:c r="I211" s="11" t="str">
        <x:v>Complete</x:v>
      </x:c>
      <x:c r="J211" s="11" t="str">
        <x:v>Yes</x:v>
      </x:c>
    </x:row>
    <x:row r="212">
      <x:c r="A212" s="11" t="str">
        <x:v>2024-02</x:v>
      </x:c>
      <x:c r="B212" s="11" t="n">
        <x:v>11</x:v>
      </x:c>
      <x:c r="C212" s="11" t="str">
        <x:v>101 Essays, die dein Leben verändern werden</x:v>
      </x:c>
      <x:c r="D212" s="11" t="str">
        <x:v>101 Essays, die dein Leben verändern werden</x:v>
      </x:c>
      <x:c r="E212" s="11" t="str">
        <x:v>Brianna Wiest</x:v>
      </x:c>
      <x:c r="F212" s="11" t="str">
        <x:v>Official #BookTok Top 20</x:v>
      </x:c>
      <x:c r="G212" s="11" t="str">
        <x:v>Media Control &amp; TikTok</x:v>
      </x:c>
      <x:c r="H212" s="11" t="n">
        <x:v>202402</x:v>
      </x:c>
      <x:c r="I212" s="11" t="str">
        <x:v>Complete</x:v>
      </x:c>
      <x:c r="J212" s="11" t="str">
        <x:v>Yes</x:v>
      </x:c>
    </x:row>
    <x:row r="213">
      <x:c r="A213" s="11" t="str">
        <x:v>2024-02</x:v>
      </x:c>
      <x:c r="B213" s="11" t="n">
        <x:v>12</x:v>
      </x:c>
      <x:c r="C213" s="11" t="str">
        <x:v>If only I had told her</x:v>
      </x:c>
      <x:c r="D213" s="11" t="str">
        <x:v>If only I had told her</x:v>
      </x:c>
      <x:c r="E213" s="11" t="str">
        <x:v>Laura Nowlin</x:v>
      </x:c>
      <x:c r="F213" s="11" t="str">
        <x:v>Official #BookTok Top 20</x:v>
      </x:c>
      <x:c r="G213" s="11" t="str">
        <x:v>Media Control &amp; TikTok</x:v>
      </x:c>
      <x:c r="H213" s="11" t="n">
        <x:v>202402</x:v>
      </x:c>
      <x:c r="I213" s="11" t="str">
        <x:v>Complete</x:v>
      </x:c>
      <x:c r="J213" s="11" t="str">
        <x:v>Yes</x:v>
      </x:c>
    </x:row>
    <x:row r="214">
      <x:c r="A214" s="11" t="str">
        <x:v>2024-02</x:v>
      </x:c>
      <x:c r="B214" s="11" t="n">
        <x:v>13</x:v>
      </x:c>
      <x:c r="C214" s="11" t="str">
        <x:v>Twisted Dreams</x:v>
      </x:c>
      <x:c r="D214" s="11" t="str">
        <x:v>Twisted Dreams</x:v>
      </x:c>
      <x:c r="E214" s="11" t="str">
        <x:v>Ana Huang</x:v>
      </x:c>
      <x:c r="F214" s="11" t="str">
        <x:v>Official #BookTok Top 20</x:v>
      </x:c>
      <x:c r="G214" s="11" t="str">
        <x:v>Media Control &amp; TikTok</x:v>
      </x:c>
      <x:c r="H214" s="11" t="n">
        <x:v>202402</x:v>
      </x:c>
      <x:c r="I214" s="11" t="str">
        <x:v>Complete</x:v>
      </x:c>
      <x:c r="J214" s="11" t="str">
        <x:v>Yes</x:v>
      </x:c>
    </x:row>
    <x:row r="215">
      <x:c r="A215" s="11" t="str">
        <x:v>2024-02</x:v>
      </x:c>
      <x:c r="B215" s="11" t="n">
        <x:v>14</x:v>
      </x:c>
      <x:c r="C215" s="11" t="str">
        <x:v>The Queen Will Rise</x:v>
      </x:c>
      <x:c r="D215" s="11" t="str">
        <x:v>The Queen Will Rise</x:v>
      </x:c>
      <x:c r="E215" s="11" t="str">
        <x:v>Marie Niehoff</x:v>
      </x:c>
      <x:c r="F215" s="11" t="str">
        <x:v>Official #BookTok Top 20</x:v>
      </x:c>
      <x:c r="G215" s="11" t="str">
        <x:v>Media Control &amp; TikTok</x:v>
      </x:c>
      <x:c r="H215" s="11" t="n">
        <x:v>202402</x:v>
      </x:c>
      <x:c r="I215" s="11" t="str">
        <x:v>Complete</x:v>
      </x:c>
      <x:c r="J215" s="11" t="str">
        <x:v>Yes</x:v>
      </x:c>
    </x:row>
    <x:row r="216">
      <x:c r="A216" s="11" t="str">
        <x:v>2024-02</x:v>
      </x:c>
      <x:c r="B216" s="11" t="n">
        <x:v>15</x:v>
      </x:c>
      <x:c r="C216" s="11" t="str">
        <x:v>Godkiller</x:v>
      </x:c>
      <x:c r="D216" s="11" t="str">
        <x:v>Godkiller</x:v>
      </x:c>
      <x:c r="E216" s="11" t="str">
        <x:v>Hannah Kaner</x:v>
      </x:c>
      <x:c r="F216" s="11" t="str">
        <x:v>Official #BookTok Top 20</x:v>
      </x:c>
      <x:c r="G216" s="11" t="str">
        <x:v>Media Control &amp; TikTok</x:v>
      </x:c>
      <x:c r="H216" s="11" t="n">
        <x:v>202402</x:v>
      </x:c>
      <x:c r="I216" s="11" t="str">
        <x:v>Complete</x:v>
      </x:c>
      <x:c r="J216" s="11" t="str">
        <x:v>Yes</x:v>
      </x:c>
    </x:row>
    <x:row r="217">
      <x:c r="A217" s="11" t="str">
        <x:v>2024-02</x:v>
      </x:c>
      <x:c r="B217" s="11" t="n">
        <x:v>16</x:v>
      </x:c>
      <x:c r="C217" s="11" t="str">
        <x:v>Verity</x:v>
      </x:c>
      <x:c r="D217" s="11" t="str">
        <x:v>Verity</x:v>
      </x:c>
      <x:c r="E217" s="11" t="str">
        <x:v>Colleen Hoover</x:v>
      </x:c>
      <x:c r="F217" s="11" t="str">
        <x:v>Official #BookTok Top 20</x:v>
      </x:c>
      <x:c r="G217" s="11" t="str">
        <x:v>Media Control &amp; TikTok</x:v>
      </x:c>
      <x:c r="H217" s="11" t="n">
        <x:v>202402</x:v>
      </x:c>
      <x:c r="I217" s="11" t="str">
        <x:v>Complete</x:v>
      </x:c>
      <x:c r="J217" s="11" t="str">
        <x:v>Yes</x:v>
      </x:c>
    </x:row>
    <x:row r="218">
      <x:c r="A218" s="11" t="str">
        <x:v>2024-02</x:v>
      </x:c>
      <x:c r="B218" s="11" t="n">
        <x:v>17</x:v>
      </x:c>
      <x:c r="C218" s="11" t="str">
        <x:v>Dark Elite - Regrets</x:v>
      </x:c>
      <x:c r="D218" s="11" t="str">
        <x:v>Dark Elite - Regrets</x:v>
      </x:c>
      <x:c r="E218" s="11" t="str">
        <x:v>Julia Hausburg</x:v>
      </x:c>
      <x:c r="F218" s="11" t="str">
        <x:v>Official #BookTok Top 20</x:v>
      </x:c>
      <x:c r="G218" s="11" t="str">
        <x:v>Media Control &amp; TikTok</x:v>
      </x:c>
      <x:c r="H218" s="11" t="n">
        <x:v>202402</x:v>
      </x:c>
      <x:c r="I218" s="11" t="str">
        <x:v>Complete</x:v>
      </x:c>
      <x:c r="J218" s="11" t="str">
        <x:v>Yes</x:v>
      </x:c>
    </x:row>
    <x:row r="219">
      <x:c r="A219" s="11" t="str">
        <x:v>2024-02</x:v>
      </x:c>
      <x:c r="B219" s="11" t="n">
        <x:v>18</x:v>
      </x:c>
      <x:c r="C219" s="11" t="str">
        <x:v>22 Bahnen</x:v>
      </x:c>
      <x:c r="D219" s="11" t="str">
        <x:v>22 Bahnen</x:v>
      </x:c>
      <x:c r="E219" s="11" t="str">
        <x:v>Caroline Wahl</x:v>
      </x:c>
      <x:c r="F219" s="11" t="str">
        <x:v>Official #BookTok Top 20</x:v>
      </x:c>
      <x:c r="G219" s="11" t="str">
        <x:v>Media Control &amp; TikTok</x:v>
      </x:c>
      <x:c r="H219" s="11" t="n">
        <x:v>202402</x:v>
      </x:c>
      <x:c r="I219" s="11" t="str">
        <x:v>Complete</x:v>
      </x:c>
      <x:c r="J219" s="11" t="str">
        <x:v>Yes</x:v>
      </x:c>
    </x:row>
    <x:row r="220">
      <x:c r="A220" s="11" t="str">
        <x:v>2024-02</x:v>
      </x:c>
      <x:c r="B220" s="11" t="n">
        <x:v>19</x:v>
      </x:c>
      <x:c r="C220" s="11" t="str">
        <x:v>Fourth Wing - Flammengeküsst</x:v>
      </x:c>
      <x:c r="D220" s="11" t="str">
        <x:v>Fourth Wing - Flammengeküsst</x:v>
      </x:c>
      <x:c r="E220" s="11" t="str">
        <x:v>Rebecca Yarros</x:v>
      </x:c>
      <x:c r="F220" s="11" t="str">
        <x:v>Official #BookTok Top 20</x:v>
      </x:c>
      <x:c r="G220" s="11" t="str">
        <x:v>Media Control &amp; TikTok</x:v>
      </x:c>
      <x:c r="H220" s="11" t="n">
        <x:v>202402</x:v>
      </x:c>
      <x:c r="I220" s="11" t="str">
        <x:v>Complete</x:v>
      </x:c>
      <x:c r="J220" s="11" t="str">
        <x:v>Yes</x:v>
      </x:c>
    </x:row>
    <x:row r="221">
      <x:c r="A221" s="11" t="str">
        <x:v>2024-02</x:v>
      </x:c>
      <x:c r="B221" s="11" t="n">
        <x:v>20</x:v>
      </x:c>
      <x:c r="C221" s="11" t="str">
        <x:v>Trial of the Sun Queen</x:v>
      </x:c>
      <x:c r="D221" s="11" t="str">
        <x:v>Trial of the Sun Queen</x:v>
      </x:c>
      <x:c r="E221" s="11" t="str">
        <x:v>Nisha J. Tuli</x:v>
      </x:c>
      <x:c r="F221" s="11" t="str">
        <x:v>Official #BookTok Top 20</x:v>
      </x:c>
      <x:c r="G221" s="11" t="str">
        <x:v>Media Control &amp; TikTok</x:v>
      </x:c>
      <x:c r="H221" s="11" t="n">
        <x:v>202402</x:v>
      </x:c>
      <x:c r="I221" s="11" t="str">
        <x:v>Complete</x:v>
      </x:c>
      <x:c r="J221" s="11" t="str">
        <x:v>Yes</x:v>
      </x:c>
    </x:row>
    <x:row r="222">
      <x:c r="A222" s="11" t="str">
        <x:v>2024-03</x:v>
      </x:c>
      <x:c r="B222" s="11" t="n">
        <x:v>1</x:v>
      </x:c>
      <x:c r="C222" s="11" t="str">
        <x:v>Crescent City - Wenn die Schatten sich erheben</x:v>
      </x:c>
      <x:c r="D222" s="11" t="str">
        <x:v>Crescent City - Wenn die Schatten sich erheben</x:v>
      </x:c>
      <x:c r="E222" s="11" t="str">
        <x:v>Sarah J. Maas</x:v>
      </x:c>
      <x:c r="F222" s="11" t="str">
        <x:v>Official #BookTok Top 20</x:v>
      </x:c>
      <x:c r="G222" s="11" t="str">
        <x:v>Media Control &amp; TikTok</x:v>
      </x:c>
      <x:c r="H222" s="11" t="n">
        <x:v>202403</x:v>
      </x:c>
      <x:c r="I222" s="11" t="str">
        <x:v>Complete</x:v>
      </x:c>
      <x:c r="J222" s="11" t="str">
        <x:v>Yes</x:v>
      </x:c>
    </x:row>
    <x:row r="223">
      <x:c r="A223" s="11" t="str">
        <x:v>2024-03</x:v>
      </x:c>
      <x:c r="B223" s="11" t="n">
        <x:v>2</x:v>
      </x:c>
      <x:c r="C223" s="11" t="str">
        <x:v>Die 1%-Methode - Minimale Veränderung, maximale Wirkung</x:v>
      </x:c>
      <x:c r="D223" s="11" t="str">
        <x:v>Die 1%-Methode - Minimale Veränderung, maximale Wirkung</x:v>
      </x:c>
      <x:c r="E223" s="11" t="str">
        <x:v>James Clear</x:v>
      </x:c>
      <x:c r="F223" s="11" t="str">
        <x:v>Official #BookTok Top 20</x:v>
      </x:c>
      <x:c r="G223" s="11" t="str">
        <x:v>Media Control &amp; TikTok</x:v>
      </x:c>
      <x:c r="H223" s="11" t="n">
        <x:v>202403</x:v>
      </x:c>
      <x:c r="I223" s="11" t="str">
        <x:v>Complete</x:v>
      </x:c>
      <x:c r="J223" s="11" t="str">
        <x:v>Yes</x:v>
      </x:c>
    </x:row>
    <x:row r="224">
      <x:c r="A224" s="11" t="str">
        <x:v>2024-03</x:v>
      </x:c>
      <x:c r="B224" s="11" t="n">
        <x:v>3</x:v>
      </x:c>
      <x:c r="C224" s="11" t="str">
        <x:v>Icebreaker</x:v>
      </x:c>
      <x:c r="D224" s="11" t="str">
        <x:v>Icebreaker</x:v>
      </x:c>
      <x:c r="E224" s="11" t="str">
        <x:v>Hannah Grace</x:v>
      </x:c>
      <x:c r="F224" s="11" t="str">
        <x:v>Official #BookTok Top 20</x:v>
      </x:c>
      <x:c r="G224" s="11" t="str">
        <x:v>Media Control &amp; TikTok</x:v>
      </x:c>
      <x:c r="H224" s="11" t="n">
        <x:v>202403</x:v>
      </x:c>
      <x:c r="I224" s="11" t="str">
        <x:v>Complete</x:v>
      </x:c>
      <x:c r="J224" s="11" t="str">
        <x:v>Yes</x:v>
      </x:c>
    </x:row>
    <x:row r="225">
      <x:c r="A225" s="11" t="str">
        <x:v>2024-03</x:v>
      </x:c>
      <x:c r="B225" s="11" t="n">
        <x:v>4</x:v>
      </x:c>
      <x:c r="C225" s="11" t="str">
        <x:v>The Serpent and the Wings of Night (Crowns of Nyaxia 1)</x:v>
      </x:c>
      <x:c r="D225" s="11" t="str">
        <x:v>The Serpent and the Wings of Night (Crowns of Nyaxia 1)</x:v>
      </x:c>
      <x:c r="E225" s="11" t="str">
        <x:v>Carissa Broadbent</x:v>
      </x:c>
      <x:c r="F225" s="11" t="str">
        <x:v>Official #BookTok Top 20</x:v>
      </x:c>
      <x:c r="G225" s="11" t="str">
        <x:v>Media Control &amp; TikTok</x:v>
      </x:c>
      <x:c r="H225" s="11" t="n">
        <x:v>202403</x:v>
      </x:c>
      <x:c r="I225" s="11" t="str">
        <x:v>Complete</x:v>
      </x:c>
      <x:c r="J225" s="11" t="str">
        <x:v>Yes</x:v>
      </x:c>
    </x:row>
    <x:row r="226">
      <x:c r="A226" s="11" t="str">
        <x:v>2024-03</x:v>
      </x:c>
      <x:c r="B226" s="11" t="n">
        <x:v>5</x:v>
      </x:c>
      <x:c r="C226" s="11" t="str">
        <x:v>Das Kind in dir muss Heimat finden</x:v>
      </x:c>
      <x:c r="D226" s="11" t="str">
        <x:v>Das Kind in dir muss Heimat finden</x:v>
      </x:c>
      <x:c r="E226" s="11" t="str">
        <x:v>Stefanie Stahl</x:v>
      </x:c>
      <x:c r="F226" s="11" t="str">
        <x:v>Official #BookTok Top 20</x:v>
      </x:c>
      <x:c r="G226" s="11" t="str">
        <x:v>Media Control &amp; TikTok</x:v>
      </x:c>
      <x:c r="H226" s="11" t="n">
        <x:v>202403</x:v>
      </x:c>
      <x:c r="I226" s="11" t="str">
        <x:v>Complete</x:v>
      </x:c>
      <x:c r="J226" s="11" t="str">
        <x:v>Yes</x:v>
      </x:c>
    </x:row>
    <x:row r="227">
      <x:c r="A227" s="11" t="str">
        <x:v>2024-03</x:v>
      </x:c>
      <x:c r="B227" s="11" t="n">
        <x:v>6</x:v>
      </x:c>
      <x:c r="C227" s="11" t="str">
        <x:v>Golden Bay - How it feels</x:v>
      </x:c>
      <x:c r="D227" s="11" t="str">
        <x:v>Golden Bay - How it feels</x:v>
      </x:c>
      <x:c r="E227" s="11" t="str">
        <x:v>Bianca Iosivoni</x:v>
      </x:c>
      <x:c r="F227" s="11" t="str">
        <x:v>Official #BookTok Top 20</x:v>
      </x:c>
      <x:c r="G227" s="11" t="str">
        <x:v>Media Control &amp; TikTok</x:v>
      </x:c>
      <x:c r="H227" s="11" t="n">
        <x:v>202403</x:v>
      </x:c>
      <x:c r="I227" s="11" t="str">
        <x:v>Complete</x:v>
      </x:c>
      <x:c r="J227" s="11" t="str">
        <x:v>Yes</x:v>
      </x:c>
    </x:row>
    <x:row r="228">
      <x:c r="A228" s="11" t="str">
        <x:v>2024-03</x:v>
      </x:c>
      <x:c r="B228" s="11" t="n">
        <x:v>7</x:v>
      </x:c>
      <x:c r="C228" s="11" t="str">
        <x:v>Die Mitternachtsbibliothek</x:v>
      </x:c>
      <x:c r="D228" s="11" t="str">
        <x:v>Die Mitternachtsbibliothek</x:v>
      </x:c>
      <x:c r="E228" s="11" t="str">
        <x:v>Matt Haig</x:v>
      </x:c>
      <x:c r="F228" s="11" t="str">
        <x:v>Official #BookTok Top 20</x:v>
      </x:c>
      <x:c r="G228" s="11" t="str">
        <x:v>Media Control &amp; TikTok</x:v>
      </x:c>
      <x:c r="H228" s="11" t="n">
        <x:v>202403</x:v>
      </x:c>
      <x:c r="I228" s="11" t="str">
        <x:v>Complete</x:v>
      </x:c>
      <x:c r="J228" s="11" t="str">
        <x:v>Yes</x:v>
      </x:c>
    </x:row>
    <x:row r="229">
      <x:c r="A229" s="11" t="str">
        <x:v>2024-03</x:v>
      </x:c>
      <x:c r="B229" s="11" t="n">
        <x:v>8</x:v>
      </x:c>
      <x:c r="C229" s="11" t="str">
        <x:v>Shatter Me</x:v>
      </x:c>
      <x:c r="D229" s="11" t="str">
        <x:v>Shatter Me</x:v>
      </x:c>
      <x:c r="E229" s="11" t="str">
        <x:v>Tahereh Mafi</x:v>
      </x:c>
      <x:c r="F229" s="11" t="str">
        <x:v>Official #BookTok Top 20</x:v>
      </x:c>
      <x:c r="G229" s="11" t="str">
        <x:v>Media Control &amp; TikTok</x:v>
      </x:c>
      <x:c r="H229" s="11" t="n">
        <x:v>202403</x:v>
      </x:c>
      <x:c r="I229" s="11" t="str">
        <x:v>Complete</x:v>
      </x:c>
      <x:c r="J229" s="11" t="str">
        <x:v>Yes</x:v>
      </x:c>
    </x:row>
    <x:row r="230">
      <x:c r="A230" s="11" t="str">
        <x:v>2024-03</x:v>
      </x:c>
      <x:c r="B230" s="11" t="n">
        <x:v>9</x:v>
      </x:c>
      <x:c r="C230" s="11" t="str">
        <x:v>Nur noch ein einziges Mal</x:v>
      </x:c>
      <x:c r="D230" s="11" t="str">
        <x:v>Nur noch ein einziges Mal</x:v>
      </x:c>
      <x:c r="E230" s="11" t="str">
        <x:v>Colleen Hoover</x:v>
      </x:c>
      <x:c r="F230" s="11" t="str">
        <x:v>Official #BookTok Top 20</x:v>
      </x:c>
      <x:c r="G230" s="11" t="str">
        <x:v>Media Control &amp; TikTok</x:v>
      </x:c>
      <x:c r="H230" s="11" t="n">
        <x:v>202403</x:v>
      </x:c>
      <x:c r="I230" s="11" t="str">
        <x:v>Complete</x:v>
      </x:c>
      <x:c r="J230" s="11" t="str">
        <x:v>Yes</x:v>
      </x:c>
    </x:row>
    <x:row r="231">
      <x:c r="A231" s="11" t="str">
        <x:v>2024-03</x:v>
      </x:c>
      <x:c r="B231" s="11" t="n">
        <x:v>10</x:v>
      </x:c>
      <x:c r="C231" s="11" t="str">
        <x:v>101 Essays, die dein Leben verändern werden</x:v>
      </x:c>
      <x:c r="D231" s="11" t="str">
        <x:v>101 Essays, die dein Leben verändern werden</x:v>
      </x:c>
      <x:c r="E231" s="11" t="str">
        <x:v>Brianna Wiest</x:v>
      </x:c>
      <x:c r="F231" s="11" t="str">
        <x:v>Official #BookTok Top 20</x:v>
      </x:c>
      <x:c r="G231" s="11" t="str">
        <x:v>Media Control &amp; TikTok</x:v>
      </x:c>
      <x:c r="H231" s="11" t="n">
        <x:v>202403</x:v>
      </x:c>
      <x:c r="I231" s="11" t="str">
        <x:v>Complete</x:v>
      </x:c>
      <x:c r="J231" s="11" t="str">
        <x:v>Yes</x:v>
      </x:c>
    </x:row>
    <x:row r="232">
      <x:c r="A232" s="11" t="str">
        <x:v>2024-03</x:v>
      </x:c>
      <x:c r="B232" s="11" t="n">
        <x:v>11</x:v>
      </x:c>
      <x:c r="C232" s="11" t="str">
        <x:v>Save Me: Special Edition Bd.1</x:v>
      </x:c>
      <x:c r="D232" s="11" t="str">
        <x:v>Save Me</x:v>
      </x:c>
      <x:c r="E232" s="11" t="str">
        <x:v>Mona Kasten</x:v>
      </x:c>
      <x:c r="F232" s="11" t="str">
        <x:v>Official #BookTok Top 20</x:v>
      </x:c>
      <x:c r="G232" s="11" t="str">
        <x:v>Media Control &amp; TikTok</x:v>
      </x:c>
      <x:c r="H232" s="11" t="n">
        <x:v>202403</x:v>
      </x:c>
      <x:c r="I232" s="11" t="str">
        <x:v>Complete</x:v>
      </x:c>
      <x:c r="J232" s="11" t="str">
        <x:v>Yes</x:v>
      </x:c>
    </x:row>
    <x:row r="233">
      <x:c r="A233" s="11" t="str">
        <x:v>2024-03</x:v>
      </x:c>
      <x:c r="B233" s="11" t="n">
        <x:v>12</x:v>
      </x:c>
      <x:c r="C233" s="11" t="str">
        <x:v>Twisted Dreams</x:v>
      </x:c>
      <x:c r="D233" s="11" t="str">
        <x:v>Twisted Dreams</x:v>
      </x:c>
      <x:c r="E233" s="11" t="str">
        <x:v>Ana Huang</x:v>
      </x:c>
      <x:c r="F233" s="11" t="str">
        <x:v>Official #BookTok Top 20</x:v>
      </x:c>
      <x:c r="G233" s="11" t="str">
        <x:v>Media Control &amp; TikTok</x:v>
      </x:c>
      <x:c r="H233" s="11" t="n">
        <x:v>202403</x:v>
      </x:c>
      <x:c r="I233" s="11" t="str">
        <x:v>Complete</x:v>
      </x:c>
      <x:c r="J233" s="11" t="str">
        <x:v>Yes</x:v>
      </x:c>
    </x:row>
    <x:row r="234">
      <x:c r="A234" s="11" t="str">
        <x:v>2024-03</x:v>
      </x:c>
      <x:c r="B234" s="11" t="n">
        <x:v>13</x:v>
      </x:c>
      <x:c r="C234" s="11" t="str">
        <x:v>Coldhart - Strong &amp; Weak</x:v>
      </x:c>
      <x:c r="D234" s="11" t="str">
        <x:v>Coldhart - Strong &amp; Weak</x:v>
      </x:c>
      <x:c r="E234" s="11" t="str">
        <x:v>Lena Kiefer</x:v>
      </x:c>
      <x:c r="F234" s="11" t="str">
        <x:v>Official #BookTok Top 20</x:v>
      </x:c>
      <x:c r="G234" s="11" t="str">
        <x:v>Media Control &amp; TikTok</x:v>
      </x:c>
      <x:c r="H234" s="11" t="n">
        <x:v>202403</x:v>
      </x:c>
      <x:c r="I234" s="11" t="str">
        <x:v>Complete</x:v>
      </x:c>
      <x:c r="J234" s="11" t="str">
        <x:v>Yes</x:v>
      </x:c>
    </x:row>
    <x:row r="235">
      <x:c r="A235" s="11" t="str">
        <x:v>2024-03</x:v>
      </x:c>
      <x:c r="B235" s="11" t="n">
        <x:v>14</x:v>
      </x:c>
      <x:c r="C235" s="11" t="str">
        <x:v>Verity</x:v>
      </x:c>
      <x:c r="D235" s="11" t="str">
        <x:v>Verity</x:v>
      </x:c>
      <x:c r="E235" s="11" t="str">
        <x:v>Colleen Hoover</x:v>
      </x:c>
      <x:c r="F235" s="11" t="str">
        <x:v>Official #BookTok Top 20</x:v>
      </x:c>
      <x:c r="G235" s="11" t="str">
        <x:v>Media Control &amp; TikTok</x:v>
      </x:c>
      <x:c r="H235" s="11" t="n">
        <x:v>202403</x:v>
      </x:c>
      <x:c r="I235" s="11" t="str">
        <x:v>Complete</x:v>
      </x:c>
      <x:c r="J235" s="11" t="str">
        <x:v>Yes</x:v>
      </x:c>
    </x:row>
    <x:row r="236">
      <x:c r="A236" s="11" t="str">
        <x:v>2024-03</x:v>
      </x:c>
      <x:c r="B236" s="11" t="n">
        <x:v>15</x:v>
      </x:c>
      <x:c r="C236" s="11" t="str">
        <x:v>Trial of the Sun Queen</x:v>
      </x:c>
      <x:c r="D236" s="11" t="str">
        <x:v>Trial of the Sun Queen</x:v>
      </x:c>
      <x:c r="E236" s="11" t="str">
        <x:v>Nisha J. Tuli</x:v>
      </x:c>
      <x:c r="F236" s="11" t="str">
        <x:v>Official #BookTok Top 20</x:v>
      </x:c>
      <x:c r="G236" s="11" t="str">
        <x:v>Media Control &amp; TikTok</x:v>
      </x:c>
      <x:c r="H236" s="11" t="n">
        <x:v>202403</x:v>
      </x:c>
      <x:c r="I236" s="11" t="str">
        <x:v>Complete</x:v>
      </x:c>
      <x:c r="J236" s="11" t="str">
        <x:v>Yes</x:v>
      </x:c>
    </x:row>
    <x:row r="237">
      <x:c r="A237" s="11" t="str">
        <x:v>2024-03</x:v>
      </x:c>
      <x:c r="B237" s="11" t="n">
        <x:v>16</x:v>
      </x:c>
      <x:c r="C237" s="11" t="str">
        <x:v>Zeilenflüstern (Sweet Lemon Agency)</x:v>
      </x:c>
      <x:c r="D237" s="11" t="str">
        <x:v>Zeilenflüstern (Sweet Lemon Agency)</x:v>
      </x:c>
      <x:c r="E237" s="11" t="str">
        <x:v>Kyra Groh</x:v>
      </x:c>
      <x:c r="F237" s="11" t="str">
        <x:v>Official #BookTok Top 20</x:v>
      </x:c>
      <x:c r="G237" s="11" t="str">
        <x:v>Media Control &amp; TikTok</x:v>
      </x:c>
      <x:c r="H237" s="11" t="n">
        <x:v>202403</x:v>
      </x:c>
      <x:c r="I237" s="11" t="str">
        <x:v>Complete</x:v>
      </x:c>
      <x:c r="J237" s="11" t="str">
        <x:v>Yes</x:v>
      </x:c>
    </x:row>
    <x:row r="238">
      <x:c r="A238" s="11" t="str">
        <x:v>2024-03</x:v>
      </x:c>
      <x:c r="B238" s="11" t="n">
        <x:v>17</x:v>
      </x:c>
      <x:c r="C238" s="11" t="str">
        <x:v>It starts with us - Nur noch einmal und für immer</x:v>
      </x:c>
      <x:c r="D238" s="11" t="str">
        <x:v>It starts with us - Nur noch einmal und für immer</x:v>
      </x:c>
      <x:c r="E238" s="11" t="str">
        <x:v>Colleen Hoover</x:v>
      </x:c>
      <x:c r="F238" s="11" t="str">
        <x:v>Official #BookTok Top 20</x:v>
      </x:c>
      <x:c r="G238" s="11" t="str">
        <x:v>Media Control &amp; TikTok</x:v>
      </x:c>
      <x:c r="H238" s="11" t="n">
        <x:v>202403</x:v>
      </x:c>
      <x:c r="I238" s="11" t="str">
        <x:v>Complete</x:v>
      </x:c>
      <x:c r="J238" s="11" t="str">
        <x:v>Yes</x:v>
      </x:c>
    </x:row>
    <x:row r="239">
      <x:c r="A239" s="11" t="str">
        <x:v>2024-03</x:v>
      </x:c>
      <x:c r="B239" s="11" t="n">
        <x:v>18</x:v>
      </x:c>
      <x:c r="C239" s="11" t="str">
        <x:v>Imagine Me</x:v>
      </x:c>
      <x:c r="D239" s="11" t="str">
        <x:v>Imagine Me</x:v>
      </x:c>
      <x:c r="E239" s="11" t="str">
        <x:v>Tahereh Mafi</x:v>
      </x:c>
      <x:c r="F239" s="11" t="str">
        <x:v>Official #BookTok Top 20</x:v>
      </x:c>
      <x:c r="G239" s="11" t="str">
        <x:v>Media Control &amp; TikTok</x:v>
      </x:c>
      <x:c r="H239" s="11" t="n">
        <x:v>202403</x:v>
      </x:c>
      <x:c r="I239" s="11" t="str">
        <x:v>Complete</x:v>
      </x:c>
      <x:c r="J239" s="11" t="str">
        <x:v>Yes</x:v>
      </x:c>
    </x:row>
    <x:row r="240">
      <x:c r="A240" s="11" t="str">
        <x:v>2024-03</x:v>
      </x:c>
      <x:c r="B240" s="11" t="n">
        <x:v>19</x:v>
      </x:c>
      <x:c r="C240" s="11" t="str">
        <x:v>A Good Girl's Guide to Murder</x:v>
      </x:c>
      <x:c r="D240" s="11" t="str">
        <x:v>A Good Girl's Guide to Murder</x:v>
      </x:c>
      <x:c r="E240" s="11" t="str">
        <x:v>Holly Jackson</x:v>
      </x:c>
      <x:c r="F240" s="11" t="str">
        <x:v>Official #BookTok Top 20</x:v>
      </x:c>
      <x:c r="G240" s="11" t="str">
        <x:v>Media Control &amp; TikTok</x:v>
      </x:c>
      <x:c r="H240" s="11" t="n">
        <x:v>202403</x:v>
      </x:c>
      <x:c r="I240" s="11" t="str">
        <x:v>Complete</x:v>
      </x:c>
      <x:c r="J240" s="11" t="str">
        <x:v>Yes</x:v>
      </x:c>
    </x:row>
    <x:row r="241">
      <x:c r="A241" s="11" t="str">
        <x:v>2024-03</x:v>
      </x:c>
      <x:c r="B241" s="11" t="n">
        <x:v>20</x:v>
      </x:c>
      <x:c r="C241" s="11" t="str">
        <x:v>Das Reich der sieben Höfe - Dornen und Rosen</x:v>
      </x:c>
      <x:c r="D241" s="11" t="str">
        <x:v>Das Reich der sieben Höfe - Dornen und Rosen</x:v>
      </x:c>
      <x:c r="E241" s="11" t="str">
        <x:v>Sarah J. Maas</x:v>
      </x:c>
      <x:c r="F241" s="11" t="str">
        <x:v>Official #BookTok Top 20</x:v>
      </x:c>
      <x:c r="G241" s="11" t="str">
        <x:v>Media Control &amp; TikTok</x:v>
      </x:c>
      <x:c r="H241" s="11" t="n">
        <x:v>202403</x:v>
      </x:c>
      <x:c r="I241" s="11" t="str">
        <x:v>Complete</x:v>
      </x:c>
      <x:c r="J241" s="11" t="str">
        <x:v>Yes</x:v>
      </x:c>
    </x:row>
    <x:row r="242">
      <x:c r="A242" s="11" t="str">
        <x:v>2024-04</x:v>
      </x:c>
      <x:c r="B242" s="11" t="n">
        <x:v>1</x:v>
      </x:c>
      <x:c r="C242" s="11" t="str">
        <x:v>Haunting Adeline 01</x:v>
      </x:c>
      <x:c r="D242" s="11" t="str">
        <x:v>Haunting Adeline 01</x:v>
      </x:c>
      <x:c r="E242" s="11" t="str">
        <x:v>H. D. Carlton</x:v>
      </x:c>
      <x:c r="F242" s="11" t="str">
        <x:v>Official #BookTok Top 20</x:v>
      </x:c>
      <x:c r="G242" s="11" t="str">
        <x:v>Media Control &amp; TikTok</x:v>
      </x:c>
      <x:c r="H242" s="11" t="n">
        <x:v>202404</x:v>
      </x:c>
      <x:c r="I242" s="11" t="str">
        <x:v>Complete</x:v>
      </x:c>
      <x:c r="J242" s="11" t="str">
        <x:v>Yes</x:v>
      </x:c>
    </x:row>
    <x:row r="243">
      <x:c r="A243" s="11" t="str">
        <x:v>2024-04</x:v>
      </x:c>
      <x:c r="B243" s="11" t="n">
        <x:v>2</x:v>
      </x:c>
      <x:c r="C243" s="11" t="str">
        <x:v>Icebreaker</x:v>
      </x:c>
      <x:c r="D243" s="11" t="str">
        <x:v>Icebreaker</x:v>
      </x:c>
      <x:c r="E243" s="11" t="str">
        <x:v>Hannah Grace</x:v>
      </x:c>
      <x:c r="F243" s="11" t="str">
        <x:v>Official #BookTok Top 20</x:v>
      </x:c>
      <x:c r="G243" s="11" t="str">
        <x:v>Media Control &amp; TikTok</x:v>
      </x:c>
      <x:c r="H243" s="11" t="n">
        <x:v>202404</x:v>
      </x:c>
      <x:c r="I243" s="11" t="str">
        <x:v>Complete</x:v>
      </x:c>
      <x:c r="J243" s="11" t="str">
        <x:v>Yes</x:v>
      </x:c>
    </x:row>
    <x:row r="244">
      <x:c r="A244" s="11" t="str">
        <x:v>2024-04</x:v>
      </x:c>
      <x:c r="B244" s="11" t="n">
        <x:v>3</x:v>
      </x:c>
      <x:c r="C244" s="11" t="str">
        <x:v>Verity</x:v>
      </x:c>
      <x:c r="D244" s="11" t="str">
        <x:v>Verity</x:v>
      </x:c>
      <x:c r="E244" s="11" t="str">
        <x:v>Colleen Hoover</x:v>
      </x:c>
      <x:c r="F244" s="11" t="str">
        <x:v>Official #BookTok Top 20</x:v>
      </x:c>
      <x:c r="G244" s="11" t="str">
        <x:v>Media Control &amp; TikTok</x:v>
      </x:c>
      <x:c r="H244" s="11" t="n">
        <x:v>202404</x:v>
      </x:c>
      <x:c r="I244" s="11" t="str">
        <x:v>Complete</x:v>
      </x:c>
      <x:c r="J244" s="11" t="str">
        <x:v>Yes</x:v>
      </x:c>
    </x:row>
    <x:row r="245">
      <x:c r="A245" s="11" t="str">
        <x:v>2024-04</x:v>
      </x:c>
      <x:c r="B245" s="11" t="n">
        <x:v>4</x:v>
      </x:c>
      <x:c r="C245" s="11" t="str">
        <x:v>Fake Roomie</x:v>
      </x:c>
      <x:c r="D245" s="11" t="str">
        <x:v>Fake Roomie</x:v>
      </x:c>
      <x:c r="E245" s="11" t="str">
        <x:v>Anya Omah</x:v>
      </x:c>
      <x:c r="F245" s="11" t="str">
        <x:v>Official #BookTok Top 20</x:v>
      </x:c>
      <x:c r="G245" s="11" t="str">
        <x:v>Media Control &amp; TikTok</x:v>
      </x:c>
      <x:c r="H245" s="11" t="n">
        <x:v>202404</x:v>
      </x:c>
      <x:c r="I245" s="11" t="str">
        <x:v>Complete</x:v>
      </x:c>
      <x:c r="J245" s="11" t="str">
        <x:v>Yes</x:v>
      </x:c>
    </x:row>
    <x:row r="246">
      <x:c r="A246" s="11" t="str">
        <x:v>2024-04</x:v>
      </x:c>
      <x:c r="B246" s="11" t="n">
        <x:v>5</x:v>
      </x:c>
      <x:c r="C246" s="11" t="str">
        <x:v>Belladaire Academy of Athletes - Misfits</x:v>
      </x:c>
      <x:c r="D246" s="11" t="str">
        <x:v>Belladaire Academy of Athletes - Misfits</x:v>
      </x:c>
      <x:c r="E246" s="11" t="str">
        <x:v>Maren Vivien Haase</x:v>
      </x:c>
      <x:c r="F246" s="11" t="str">
        <x:v>Official #BookTok Top 20</x:v>
      </x:c>
      <x:c r="G246" s="11" t="str">
        <x:v>Media Control &amp; TikTok</x:v>
      </x:c>
      <x:c r="H246" s="11" t="n">
        <x:v>202404</x:v>
      </x:c>
      <x:c r="I246" s="11" t="str">
        <x:v>Complete</x:v>
      </x:c>
      <x:c r="J246" s="11" t="str">
        <x:v>Yes</x:v>
      </x:c>
    </x:row>
    <x:row r="247">
      <x:c r="A247" s="11" t="str">
        <x:v>2024-04</x:v>
      </x:c>
      <x:c r="B247" s="11" t="n">
        <x:v>6</x:v>
      </x:c>
      <x:c r="C247" s="11" t="str">
        <x:v>Golden Heritage (Crumbling Hearts)</x:v>
      </x:c>
      <x:c r="D247" s="11" t="str">
        <x:v>Golden Heritage (Crumbling Hearts)</x:v>
      </x:c>
      <x:c r="E247" s="11" t="str">
        <x:v>Carolin Wahl</x:v>
      </x:c>
      <x:c r="F247" s="11" t="str">
        <x:v>Official #BookTok Top 20</x:v>
      </x:c>
      <x:c r="G247" s="11" t="str">
        <x:v>Media Control &amp; TikTok</x:v>
      </x:c>
      <x:c r="H247" s="11" t="n">
        <x:v>202404</x:v>
      </x:c>
      <x:c r="I247" s="11" t="str">
        <x:v>Complete</x:v>
      </x:c>
      <x:c r="J247" s="11" t="str">
        <x:v>Yes</x:v>
      </x:c>
    </x:row>
    <x:row r="248">
      <x:c r="A248" s="11" t="str">
        <x:v>2024-04</x:v>
      </x:c>
      <x:c r="B248" s="11" t="n">
        <x:v>7</x:v>
      </x:c>
      <x:c r="C248" s="11" t="str">
        <x:v>Vengeance (Academy of Dream Analysis 1)</x:v>
      </x:c>
      <x:c r="D248" s="11" t="str">
        <x:v>Vengeance (Academy of Dream Analysis 1)</x:v>
      </x:c>
      <x:c r="E248" s="11" t="str">
        <x:v>Ruby Braun</x:v>
      </x:c>
      <x:c r="F248" s="11" t="str">
        <x:v>Official #BookTok Top 20</x:v>
      </x:c>
      <x:c r="G248" s="11" t="str">
        <x:v>Media Control &amp; TikTok</x:v>
      </x:c>
      <x:c r="H248" s="11" t="n">
        <x:v>202404</x:v>
      </x:c>
      <x:c r="I248" s="11" t="str">
        <x:v>Complete</x:v>
      </x:c>
      <x:c r="J248" s="11" t="str">
        <x:v>Yes</x:v>
      </x:c>
    </x:row>
    <x:row r="249">
      <x:c r="A249" s="11" t="str">
        <x:v>2024-04</x:v>
      </x:c>
      <x:c r="B249" s="11" t="n">
        <x:v>8</x:v>
      </x:c>
      <x:c r="C249" s="11" t="str">
        <x:v>The Serpent and the Wings of Night (Crowns of Nyaxia 1)</x:v>
      </x:c>
      <x:c r="D249" s="11" t="str">
        <x:v>The Serpent and the Wings of Night (Crowns of Nyaxia 1)</x:v>
      </x:c>
      <x:c r="E249" s="11" t="str">
        <x:v>Carissa Broadbent</x:v>
      </x:c>
      <x:c r="F249" s="11" t="str">
        <x:v>Official #BookTok Top 20</x:v>
      </x:c>
      <x:c r="G249" s="11" t="str">
        <x:v>Media Control &amp; TikTok</x:v>
      </x:c>
      <x:c r="H249" s="11" t="n">
        <x:v>202404</x:v>
      </x:c>
      <x:c r="I249" s="11" t="str">
        <x:v>Complete</x:v>
      </x:c>
      <x:c r="J249" s="11" t="str">
        <x:v>Yes</x:v>
      </x:c>
    </x:row>
    <x:row r="250">
      <x:c r="A250" s="11" t="str">
        <x:v>2024-04</x:v>
      </x:c>
      <x:c r="B250" s="11" t="n">
        <x:v>9</x:v>
      </x:c>
      <x:c r="C250" s="11" t="str">
        <x:v>It starts with us - Nur noch einmal und für immer</x:v>
      </x:c>
      <x:c r="D250" s="11" t="str">
        <x:v>It starts with us - Nur noch einmal und für immer</x:v>
      </x:c>
      <x:c r="E250" s="11" t="str">
        <x:v>Colleen Hoover</x:v>
      </x:c>
      <x:c r="F250" s="11" t="str">
        <x:v>Official #BookTok Top 20</x:v>
      </x:c>
      <x:c r="G250" s="11" t="str">
        <x:v>Media Control &amp; TikTok</x:v>
      </x:c>
      <x:c r="H250" s="11" t="n">
        <x:v>202404</x:v>
      </x:c>
      <x:c r="I250" s="11" t="str">
        <x:v>Complete</x:v>
      </x:c>
      <x:c r="J250" s="11" t="str">
        <x:v>Yes</x:v>
      </x:c>
    </x:row>
    <x:row r="251">
      <x:c r="A251" s="11" t="str">
        <x:v>2024-04</x:v>
      </x:c>
      <x:c r="B251" s="11" t="n">
        <x:v>10</x:v>
      </x:c>
      <x:c r="C251" s="11" t="str">
        <x:v>Powerless</x:v>
      </x:c>
      <x:c r="D251" s="11" t="str">
        <x:v>Powerless - Das Spiel</x:v>
      </x:c>
      <x:c r="E251" s="11" t="str">
        <x:v>Lauren Roberts</x:v>
      </x:c>
      <x:c r="F251" s="11" t="str">
        <x:v>Official #BookTok Top 20</x:v>
      </x:c>
      <x:c r="G251" s="11" t="str">
        <x:v>Media Control &amp; TikTok</x:v>
      </x:c>
      <x:c r="H251" s="11" t="n">
        <x:v>202404</x:v>
      </x:c>
      <x:c r="I251" s="11" t="str">
        <x:v>Complete</x:v>
      </x:c>
      <x:c r="J251" s="11" t="str">
        <x:v>Yes</x:v>
      </x:c>
    </x:row>
    <x:row r="252">
      <x:c r="A252" s="11" t="str">
        <x:v>2024-04</x:v>
      </x:c>
      <x:c r="B252" s="11" t="n">
        <x:v>11</x:v>
      </x:c>
      <x:c r="C252" s="11" t="str">
        <x:v>Iron Flame - Flammengeküsst</x:v>
      </x:c>
      <x:c r="D252" s="11" t="str">
        <x:v>Iron Flame - Flammengeküsst</x:v>
      </x:c>
      <x:c r="E252" s="11" t="str">
        <x:v>Rebecca Yarros</x:v>
      </x:c>
      <x:c r="F252" s="11" t="str">
        <x:v>Official #BookTok Top 20</x:v>
      </x:c>
      <x:c r="G252" s="11" t="str">
        <x:v>Media Control &amp; TikTok</x:v>
      </x:c>
      <x:c r="H252" s="11" t="n">
        <x:v>202404</x:v>
      </x:c>
      <x:c r="I252" s="11" t="str">
        <x:v>Complete</x:v>
      </x:c>
      <x:c r="J252" s="11" t="str">
        <x:v>Yes</x:v>
      </x:c>
    </x:row>
    <x:row r="253">
      <x:c r="A253" s="11" t="str">
        <x:v>2024-04</x:v>
      </x:c>
      <x:c r="B253" s="11" t="n">
        <x:v>12</x:v>
      </x:c>
      <x:c r="C253" s="11" t="str">
        <x:v>Divine Rivals</x:v>
      </x:c>
      <x:c r="D253" s="11" t="str">
        <x:v>Divine Rivals</x:v>
      </x:c>
      <x:c r="E253" s="11" t="str">
        <x:v>Rebecca Ross</x:v>
      </x:c>
      <x:c r="F253" s="11" t="str">
        <x:v>Official #BookTok Top 20</x:v>
      </x:c>
      <x:c r="G253" s="11" t="str">
        <x:v>Media Control &amp; TikTok</x:v>
      </x:c>
      <x:c r="H253" s="11" t="n">
        <x:v>202404</x:v>
      </x:c>
      <x:c r="I253" s="11" t="str">
        <x:v>Complete</x:v>
      </x:c>
      <x:c r="J253" s="11" t="str">
        <x:v>Yes</x:v>
      </x:c>
    </x:row>
    <x:row r="254">
      <x:c r="A254" s="11" t="str">
        <x:v>2024-04</x:v>
      </x:c>
      <x:c r="B254" s="11" t="n">
        <x:v>13</x:v>
      </x:c>
      <x:c r="C254" s="11" t="str">
        <x:v>Nur noch ein einziges Mal</x:v>
      </x:c>
      <x:c r="D254" s="11" t="str">
        <x:v>Nur noch ein einziges Mal</x:v>
      </x:c>
      <x:c r="E254" s="11" t="str">
        <x:v>Colleen Hoover</x:v>
      </x:c>
      <x:c r="F254" s="11" t="str">
        <x:v>Official #BookTok Top 20</x:v>
      </x:c>
      <x:c r="G254" s="11" t="str">
        <x:v>Media Control &amp; TikTok</x:v>
      </x:c>
      <x:c r="H254" s="11" t="n">
        <x:v>202404</x:v>
      </x:c>
      <x:c r="I254" s="11" t="str">
        <x:v>Complete</x:v>
      </x:c>
      <x:c r="J254" s="11" t="str">
        <x:v>Yes</x:v>
      </x:c>
    </x:row>
    <x:row r="255">
      <x:c r="A255" s="11" t="str">
        <x:v>2024-04</x:v>
      </x:c>
      <x:c r="B255" s="11" t="n">
        <x:v>14</x:v>
      </x:c>
      <x:c r="C255" s="11" t="str">
        <x:v>Flawless</x:v>
      </x:c>
      <x:c r="D255" s="11" t="str">
        <x:v>Flawless</x:v>
      </x:c>
      <x:c r="E255" s="11" t="str">
        <x:v>Elsie Silver</x:v>
      </x:c>
      <x:c r="F255" s="11" t="str">
        <x:v>Official #BookTok Top 20</x:v>
      </x:c>
      <x:c r="G255" s="11" t="str">
        <x:v>Media Control &amp; TikTok</x:v>
      </x:c>
      <x:c r="H255" s="11" t="n">
        <x:v>202404</x:v>
      </x:c>
      <x:c r="I255" s="11" t="str">
        <x:v>Complete</x:v>
      </x:c>
      <x:c r="J255" s="11" t="str">
        <x:v>Yes</x:v>
      </x:c>
    </x:row>
    <x:row r="256">
      <x:c r="A256" s="11" t="str">
        <x:v>2024-04</x:v>
      </x:c>
      <x:c r="B256" s="11" t="n">
        <x:v>15</x:v>
      </x:c>
      <x:c r="C256" s="11" t="str">
        <x:v>The Darkest Gold - Die Rebellin</x:v>
      </x:c>
      <x:c r="D256" s="11" t="str">
        <x:v>The Darkest Gold - Die Rebellin</x:v>
      </x:c>
      <x:c r="E256" s="11" t="str">
        <x:v>Raven Kennedy</x:v>
      </x:c>
      <x:c r="F256" s="11" t="str">
        <x:v>Official #BookTok Top 20</x:v>
      </x:c>
      <x:c r="G256" s="11" t="str">
        <x:v>Media Control &amp; TikTok</x:v>
      </x:c>
      <x:c r="H256" s="11" t="n">
        <x:v>202404</x:v>
      </x:c>
      <x:c r="I256" s="11" t="str">
        <x:v>Complete</x:v>
      </x:c>
      <x:c r="J256" s="11" t="str">
        <x:v>Yes</x:v>
      </x:c>
    </x:row>
    <x:row r="257">
      <x:c r="A257" s="11" t="str">
        <x:v>2024-04</x:v>
      </x:c>
      <x:c r="B257" s="11" t="n">
        <x:v>16</x:v>
      </x:c>
      <x:c r="C257" s="11" t="str">
        <x:v>Pretty Scandalous - Heißer als Rache</x:v>
      </x:c>
      <x:c r="D257" s="11" t="str">
        <x:v>Pretty Scandalous - Heißer als Rache</x:v>
      </x:c>
      <x:c r="E257" s="11" t="str">
        <x:v>Tami Fischer</x:v>
      </x:c>
      <x:c r="F257" s="11" t="str">
        <x:v>Official #BookTok Top 20</x:v>
      </x:c>
      <x:c r="G257" s="11" t="str">
        <x:v>Media Control &amp; TikTok</x:v>
      </x:c>
      <x:c r="H257" s="11" t="n">
        <x:v>202404</x:v>
      </x:c>
      <x:c r="I257" s="11" t="str">
        <x:v>Complete</x:v>
      </x:c>
      <x:c r="J257" s="11" t="str">
        <x:v>Yes</x:v>
      </x:c>
    </x:row>
    <x:row r="258">
      <x:c r="A258" s="11" t="str">
        <x:v>2024-04</x:v>
      </x:c>
      <x:c r="B258" s="11" t="n">
        <x:v>17</x:v>
      </x:c>
      <x:c r="C258" s="11" t="str">
        <x:v>Twisted Dreams</x:v>
      </x:c>
      <x:c r="D258" s="11" t="str">
        <x:v>Twisted Dreams</x:v>
      </x:c>
      <x:c r="E258" s="11" t="str">
        <x:v>Ana Huang</x:v>
      </x:c>
      <x:c r="F258" s="11" t="str">
        <x:v>Official #BookTok Top 20</x:v>
      </x:c>
      <x:c r="G258" s="11" t="str">
        <x:v>Media Control &amp; TikTok</x:v>
      </x:c>
      <x:c r="H258" s="11" t="n">
        <x:v>202404</x:v>
      </x:c>
      <x:c r="I258" s="11" t="str">
        <x:v>Complete</x:v>
      </x:c>
      <x:c r="J258" s="11" t="str">
        <x:v>Yes</x:v>
      </x:c>
    </x:row>
    <x:row r="259">
      <x:c r="A259" s="11" t="str">
        <x:v>2024-04</x:v>
      </x:c>
      <x:c r="B259" s="11" t="n">
        <x:v>18</x:v>
      </x:c>
      <x:c r="C259" s="11" t="str">
        <x:v>A Spark of Time - Rendezvous auf der Titanic</x:v>
      </x:c>
      <x:c r="D259" s="11" t="str">
        <x:v>A Spark of Time - Rendezvous auf der Titanic</x:v>
      </x:c>
      <x:c r="E259" s="11" t="str">
        <x:v>Kira Licht</x:v>
      </x:c>
      <x:c r="F259" s="11" t="str">
        <x:v>Official #BookTok Top 20</x:v>
      </x:c>
      <x:c r="G259" s="11" t="str">
        <x:v>Media Control &amp; TikTok</x:v>
      </x:c>
      <x:c r="H259" s="11" t="n">
        <x:v>202404</x:v>
      </x:c>
      <x:c r="I259" s="11" t="str">
        <x:v>Complete</x:v>
      </x:c>
      <x:c r="J259" s="11" t="str">
        <x:v>Yes</x:v>
      </x:c>
    </x:row>
    <x:row r="260">
      <x:c r="A260" s="11" t="str">
        <x:v>2024-04</x:v>
      </x:c>
      <x:c r="B260" s="11" t="n">
        <x:v>19</x:v>
      </x:c>
      <x:c r="C260" s="11" t="str">
        <x:v>A Tempest of Tea</x:v>
      </x:c>
      <x:c r="D260" s="11" t="str">
        <x:v>A Tempest of Tea</x:v>
      </x:c>
      <x:c r="E260" s="11" t="str">
        <x:v>Hafsah Faizal</x:v>
      </x:c>
      <x:c r="F260" s="11" t="str">
        <x:v>Official #BookTok Top 20</x:v>
      </x:c>
      <x:c r="G260" s="11" t="str">
        <x:v>Media Control &amp; TikTok</x:v>
      </x:c>
      <x:c r="H260" s="11" t="n">
        <x:v>202404</x:v>
      </x:c>
      <x:c r="I260" s="11" t="str">
        <x:v>Complete</x:v>
      </x:c>
      <x:c r="J260" s="11" t="str">
        <x:v>Yes</x:v>
      </x:c>
    </x:row>
    <x:row r="261">
      <x:c r="A261" s="11" t="str">
        <x:v>2024-04</x:v>
      </x:c>
      <x:c r="B261" s="11" t="n">
        <x:v>20</x:v>
      </x:c>
      <x:c r="C261" s="11" t="str">
        <x:v>Bride - Die unergründliche Übernatürlichkeit der Liebe</x:v>
      </x:c>
      <x:c r="D261" s="11" t="str">
        <x:v>Bride - Die unergründliche Übernatürlichkeit der Liebe</x:v>
      </x:c>
      <x:c r="E261" s="11" t="str">
        <x:v>Ali Hazelwood</x:v>
      </x:c>
      <x:c r="F261" s="11" t="str">
        <x:v>Official #BookTok Top 20</x:v>
      </x:c>
      <x:c r="G261" s="11" t="str">
        <x:v>Media Control &amp; TikTok</x:v>
      </x:c>
      <x:c r="H261" s="11" t="n">
        <x:v>202404</x:v>
      </x:c>
      <x:c r="I261" s="11" t="str">
        <x:v>Complete</x:v>
      </x:c>
      <x:c r="J261" s="11" t="str">
        <x:v>Yes</x:v>
      </x:c>
    </x:row>
    <x:row r="262">
      <x:c r="A262" s="11" t="str">
        <x:v>2024-05</x:v>
      </x:c>
      <x:c r="B262" s="11" t="n">
        <x:v>1</x:v>
      </x:c>
      <x:c r="C262" s="11" t="str">
        <x:v>Save Me</x:v>
      </x:c>
      <x:c r="D262" s="11" t="str">
        <x:v>Save Me</x:v>
      </x:c>
      <x:c r="E262" s="11" t="str">
        <x:v>Mona Kasten</x:v>
      </x:c>
      <x:c r="F262" s="11" t="str">
        <x:v>Official #BookTok Top 20</x:v>
      </x:c>
      <x:c r="G262" s="11" t="str">
        <x:v>Media Control &amp; TikTok</x:v>
      </x:c>
      <x:c r="H262" s="11" t="n">
        <x:v>202405</x:v>
      </x:c>
      <x:c r="I262" s="11" t="str">
        <x:v>Complete</x:v>
      </x:c>
      <x:c r="J262" s="11" t="str">
        <x:v>Yes</x:v>
      </x:c>
    </x:row>
    <x:row r="263">
      <x:c r="A263" s="11" t="str">
        <x:v>2024-05</x:v>
      </x:c>
      <x:c r="B263" s="11" t="n">
        <x:v>2</x:v>
      </x:c>
      <x:c r="C263" s="11" t="str">
        <x:v>Haunting Adeline 01</x:v>
      </x:c>
      <x:c r="D263" s="11" t="str">
        <x:v>Haunting Adeline 01</x:v>
      </x:c>
      <x:c r="E263" s="11" t="str">
        <x:v>H. D. Carlton</x:v>
      </x:c>
      <x:c r="F263" s="11" t="str">
        <x:v>Official #BookTok Top 20</x:v>
      </x:c>
      <x:c r="G263" s="11" t="str">
        <x:v>Media Control &amp; TikTok</x:v>
      </x:c>
      <x:c r="H263" s="11" t="n">
        <x:v>202405</x:v>
      </x:c>
      <x:c r="I263" s="11" t="str">
        <x:v>Complete</x:v>
      </x:c>
      <x:c r="J263" s="11" t="str">
        <x:v>Yes</x:v>
      </x:c>
    </x:row>
    <x:row r="264">
      <x:c r="A264" s="11" t="str">
        <x:v>2024-05</x:v>
      </x:c>
      <x:c r="B264" s="11" t="n">
        <x:v>3</x:v>
      </x:c>
      <x:c r="C264" s="11" t="str">
        <x:v>Icebreaker</x:v>
      </x:c>
      <x:c r="D264" s="11" t="str">
        <x:v>Icebreaker</x:v>
      </x:c>
      <x:c r="E264" s="11" t="str">
        <x:v>Hannah Grace</x:v>
      </x:c>
      <x:c r="F264" s="11" t="str">
        <x:v>Official #BookTok Top 20</x:v>
      </x:c>
      <x:c r="G264" s="11" t="str">
        <x:v>Media Control &amp; TikTok</x:v>
      </x:c>
      <x:c r="H264" s="11" t="n">
        <x:v>202405</x:v>
      </x:c>
      <x:c r="I264" s="11" t="str">
        <x:v>Complete</x:v>
      </x:c>
      <x:c r="J264" s="11" t="str">
        <x:v>Yes</x:v>
      </x:c>
    </x:row>
    <x:row r="265">
      <x:c r="A265" s="11" t="str">
        <x:v>2024-05</x:v>
      </x:c>
      <x:c r="B265" s="11" t="n">
        <x:v>4</x:v>
      </x:c>
      <x:c r="C265" s="11" t="str">
        <x:v>Coldhart - Deep &amp; Shallow</x:v>
      </x:c>
      <x:c r="D265" s="11" t="str">
        <x:v>Coldhart - Deep &amp; Shallow</x:v>
      </x:c>
      <x:c r="E265" s="11" t="str">
        <x:v>Lena Kiefer</x:v>
      </x:c>
      <x:c r="F265" s="11" t="str">
        <x:v>Official #BookTok Top 20</x:v>
      </x:c>
      <x:c r="G265" s="11" t="str">
        <x:v>Media Control &amp; TikTok</x:v>
      </x:c>
      <x:c r="H265" s="11" t="n">
        <x:v>202405</x:v>
      </x:c>
      <x:c r="I265" s="11" t="str">
        <x:v>Complete</x:v>
      </x:c>
      <x:c r="J265" s="11" t="str">
        <x:v>Yes</x:v>
      </x:c>
    </x:row>
    <x:row r="266">
      <x:c r="A266" s="11" t="str">
        <x:v>2024-05</x:v>
      </x:c>
      <x:c r="B266" s="11" t="n">
        <x:v>5</x:v>
      </x:c>
      <x:c r="C266" s="11" t="str">
        <x:v>King of Sloth</x:v>
      </x:c>
      <x:c r="D266" s="11" t="str">
        <x:v>King of Sloth</x:v>
      </x:c>
      <x:c r="E266" s="11" t="str">
        <x:v>Ana Huang</x:v>
      </x:c>
      <x:c r="F266" s="11" t="str">
        <x:v>Official #BookTok Top 20</x:v>
      </x:c>
      <x:c r="G266" s="11" t="str">
        <x:v>Media Control &amp; TikTok</x:v>
      </x:c>
      <x:c r="H266" s="11" t="n">
        <x:v>202405</x:v>
      </x:c>
      <x:c r="I266" s="11" t="str">
        <x:v>Complete</x:v>
      </x:c>
      <x:c r="J266" s="11" t="str">
        <x:v>Yes</x:v>
      </x:c>
    </x:row>
    <x:row r="267">
      <x:c r="A267" s="11" t="str">
        <x:v>2024-05</x:v>
      </x:c>
      <x:c r="B267" s="11" t="n">
        <x:v>6</x:v>
      </x:c>
      <x:c r="C267" s="11" t="str">
        <x:v>Nur noch ein einziges Mal</x:v>
      </x:c>
      <x:c r="D267" s="11" t="str">
        <x:v>Nur noch ein einziges Mal</x:v>
      </x:c>
      <x:c r="E267" s="11" t="str">
        <x:v>Colleen Hoover</x:v>
      </x:c>
      <x:c r="F267" s="11" t="str">
        <x:v>Official #BookTok Top 20</x:v>
      </x:c>
      <x:c r="G267" s="11" t="str">
        <x:v>Media Control &amp; TikTok</x:v>
      </x:c>
      <x:c r="H267" s="11" t="n">
        <x:v>202405</x:v>
      </x:c>
      <x:c r="I267" s="11" t="str">
        <x:v>Complete</x:v>
      </x:c>
      <x:c r="J267" s="11" t="str">
        <x:v>Yes</x:v>
      </x:c>
    </x:row>
    <x:row r="268">
      <x:c r="A268" s="11" t="str">
        <x:v>2024-05</x:v>
      </x:c>
      <x:c r="B268" s="11" t="n">
        <x:v>7</x:v>
      </x:c>
      <x:c r="C268" s="11" t="str">
        <x:v>Wildfire</x:v>
      </x:c>
      <x:c r="D268" s="11" t="str">
        <x:v>Wildfire</x:v>
      </x:c>
      <x:c r="E268" s="11" t="str">
        <x:v>Hannah Grace</x:v>
      </x:c>
      <x:c r="F268" s="11" t="str">
        <x:v>Official #BookTok Top 20</x:v>
      </x:c>
      <x:c r="G268" s="11" t="str">
        <x:v>Media Control &amp; TikTok</x:v>
      </x:c>
      <x:c r="H268" s="11" t="n">
        <x:v>202405</x:v>
      </x:c>
      <x:c r="I268" s="11" t="str">
        <x:v>Complete</x:v>
      </x:c>
      <x:c r="J268" s="11" t="str">
        <x:v>Yes</x:v>
      </x:c>
    </x:row>
    <x:row r="269">
      <x:c r="A269" s="11" t="str">
        <x:v>2024-05</x:v>
      </x:c>
      <x:c r="B269" s="11" t="n">
        <x:v>8</x:v>
      </x:c>
      <x:c r="C269" s="11" t="str">
        <x:v>Very Bad Kings</x:v>
      </x:c>
      <x:c r="D269" s="11" t="str">
        <x:v>Very Bad Kings</x:v>
      </x:c>
      <x:c r="E269" s="11" t="str">
        <x:v>J. S. Wonda</x:v>
      </x:c>
      <x:c r="F269" s="11" t="str">
        <x:v>Official #BookTok Top 20</x:v>
      </x:c>
      <x:c r="G269" s="11" t="str">
        <x:v>Media Control &amp; TikTok</x:v>
      </x:c>
      <x:c r="H269" s="11" t="n">
        <x:v>202405</x:v>
      </x:c>
      <x:c r="I269" s="11" t="str">
        <x:v>Complete</x:v>
      </x:c>
      <x:c r="J269" s="11" t="str">
        <x:v>Yes</x:v>
      </x:c>
    </x:row>
    <x:row r="270">
      <x:c r="A270" s="11" t="str">
        <x:v>2024-05</x:v>
      </x:c>
      <x:c r="B270" s="11" t="n">
        <x:v>9</x:v>
      </x:c>
      <x:c r="C270" s="11" t="str">
        <x:v>Verity</x:v>
      </x:c>
      <x:c r="D270" s="11" t="str">
        <x:v>Verity</x:v>
      </x:c>
      <x:c r="E270" s="11" t="str">
        <x:v>Colleen Hoover</x:v>
      </x:c>
      <x:c r="F270" s="11" t="str">
        <x:v>Official #BookTok Top 20</x:v>
      </x:c>
      <x:c r="G270" s="11" t="str">
        <x:v>Media Control &amp; TikTok</x:v>
      </x:c>
      <x:c r="H270" s="11" t="n">
        <x:v>202405</x:v>
      </x:c>
      <x:c r="I270" s="11" t="str">
        <x:v>Complete</x:v>
      </x:c>
      <x:c r="J270" s="11" t="str">
        <x:v>Yes</x:v>
      </x:c>
    </x:row>
    <x:row r="271">
      <x:c r="A271" s="11" t="str">
        <x:v>2024-05</x:v>
      </x:c>
      <x:c r="B271" s="11" t="n">
        <x:v>10</x:v>
      </x:c>
      <x:c r="C271" s="11" t="str">
        <x:v>Hooked</x:v>
      </x:c>
      <x:c r="D271" s="11" t="str">
        <x:v>Hooked</x:v>
      </x:c>
      <x:c r="E271" s="11" t="str">
        <x:v>Emily McIntire</x:v>
      </x:c>
      <x:c r="F271" s="11" t="str">
        <x:v>Official #BookTok Top 20</x:v>
      </x:c>
      <x:c r="G271" s="11" t="str">
        <x:v>Media Control &amp; TikTok</x:v>
      </x:c>
      <x:c r="H271" s="11" t="n">
        <x:v>202405</x:v>
      </x:c>
      <x:c r="I271" s="11" t="str">
        <x:v>Complete</x:v>
      </x:c>
      <x:c r="J271" s="11" t="str">
        <x:v>Yes</x:v>
      </x:c>
    </x:row>
    <x:row r="272">
      <x:c r="A272" s="11" t="str">
        <x:v>2024-05</x:v>
      </x:c>
      <x:c r="B272" s="11" t="n">
        <x:v>11</x:v>
      </x:c>
      <x:c r="C272" s="11" t="str">
        <x:v>Fourth Wing - Flammengeküsst</x:v>
      </x:c>
      <x:c r="D272" s="11" t="str">
        <x:v>Fourth Wing - Flammengeküsst</x:v>
      </x:c>
      <x:c r="E272" s="11" t="str">
        <x:v>Rebecca Yarros</x:v>
      </x:c>
      <x:c r="F272" s="11" t="str">
        <x:v>Official #BookTok Top 20</x:v>
      </x:c>
      <x:c r="G272" s="11" t="str">
        <x:v>Media Control &amp; TikTok</x:v>
      </x:c>
      <x:c r="H272" s="11" t="n">
        <x:v>202405</x:v>
      </x:c>
      <x:c r="I272" s="11" t="str">
        <x:v>Complete</x:v>
      </x:c>
      <x:c r="J272" s="11" t="str">
        <x:v>Yes</x:v>
      </x:c>
    </x:row>
    <x:row r="273">
      <x:c r="A273" s="11" t="str">
        <x:v>2024-05</x:v>
      </x:c>
      <x:c r="B273" s="11" t="n">
        <x:v>12</x:v>
      </x:c>
      <x:c r="C273" s="11" t="str">
        <x:v>Twisted Games</x:v>
      </x:c>
      <x:c r="D273" s="11" t="str">
        <x:v>Twisted Games</x:v>
      </x:c>
      <x:c r="E273" s="11" t="str">
        <x:v>Ana Huang</x:v>
      </x:c>
      <x:c r="F273" s="11" t="str">
        <x:v>Official #BookTok Top 20</x:v>
      </x:c>
      <x:c r="G273" s="11" t="str">
        <x:v>Media Control &amp; TikTok</x:v>
      </x:c>
      <x:c r="H273" s="11" t="n">
        <x:v>202405</x:v>
      </x:c>
      <x:c r="I273" s="11" t="str">
        <x:v>Complete</x:v>
      </x:c>
      <x:c r="J273" s="11" t="str">
        <x:v>Yes</x:v>
      </x:c>
    </x:row>
    <x:row r="274">
      <x:c r="A274" s="11" t="str">
        <x:v>2024-05</x:v>
      </x:c>
      <x:c r="B274" s="11" t="n">
        <x:v>13</x:v>
      </x:c>
      <x:c r="C274" s="11" t="str">
        <x:v>King of Greed</x:v>
      </x:c>
      <x:c r="D274" s="11" t="str">
        <x:v>King of Greed</x:v>
      </x:c>
      <x:c r="E274" s="11" t="str">
        <x:v>Ana Huang</x:v>
      </x:c>
      <x:c r="F274" s="11" t="str">
        <x:v>Official #BookTok Top 20</x:v>
      </x:c>
      <x:c r="G274" s="11" t="str">
        <x:v>Media Control &amp; TikTok</x:v>
      </x:c>
      <x:c r="H274" s="11" t="n">
        <x:v>202405</x:v>
      </x:c>
      <x:c r="I274" s="11" t="str">
        <x:v>Complete</x:v>
      </x:c>
      <x:c r="J274" s="11" t="str">
        <x:v>Yes</x:v>
      </x:c>
    </x:row>
    <x:row r="275">
      <x:c r="A275" s="11" t="str">
        <x:v>2024-05</x:v>
      </x:c>
      <x:c r="B275" s="11" t="n">
        <x:v>14</x:v>
      </x:c>
      <x:c r="C275" s="11" t="str">
        <x:v>Corrupt - Dunkle Versuchung</x:v>
      </x:c>
      <x:c r="D275" s="11" t="str">
        <x:v>Corrupt - Dunkle Versuchung</x:v>
      </x:c>
      <x:c r="E275" s="11" t="str">
        <x:v>Penelope Douglas</x:v>
      </x:c>
      <x:c r="F275" s="11" t="str">
        <x:v>Official #BookTok Top 20</x:v>
      </x:c>
      <x:c r="G275" s="11" t="str">
        <x:v>Media Control &amp; TikTok</x:v>
      </x:c>
      <x:c r="H275" s="11" t="n">
        <x:v>202405</x:v>
      </x:c>
      <x:c r="I275" s="11" t="str">
        <x:v>Complete</x:v>
      </x:c>
      <x:c r="J275" s="11" t="str">
        <x:v>Yes</x:v>
      </x:c>
    </x:row>
    <x:row r="276">
      <x:c r="A276" s="11" t="str">
        <x:v>2024-05</x:v>
      </x:c>
      <x:c r="B276" s="11" t="n">
        <x:v>15</x:v>
      </x:c>
      <x:c r="C276" s="11" t="str">
        <x:v>Powerless</x:v>
      </x:c>
      <x:c r="D276" s="11" t="str">
        <x:v>Powerless - Das Spiel</x:v>
      </x:c>
      <x:c r="E276" s="11" t="str">
        <x:v>Lauren Roberts</x:v>
      </x:c>
      <x:c r="F276" s="11" t="str">
        <x:v>Official #BookTok Top 20</x:v>
      </x:c>
      <x:c r="G276" s="11" t="str">
        <x:v>Media Control &amp; TikTok</x:v>
      </x:c>
      <x:c r="H276" s="11" t="n">
        <x:v>202405</x:v>
      </x:c>
      <x:c r="I276" s="11" t="str">
        <x:v>Complete</x:v>
      </x:c>
      <x:c r="J276" s="11" t="str">
        <x:v>Yes</x:v>
      </x:c>
    </x:row>
    <x:row r="277">
      <x:c r="A277" s="11" t="str">
        <x:v>2024-05</x:v>
      </x:c>
      <x:c r="B277" s="11" t="n">
        <x:v>16</x:v>
      </x:c>
      <x:c r="C277" s="11" t="str">
        <x:v>A Good Girl's Guide to Murder</x:v>
      </x:c>
      <x:c r="D277" s="11" t="str">
        <x:v>A Good Girl's Guide to Murder</x:v>
      </x:c>
      <x:c r="E277" s="11" t="str">
        <x:v>Holly Jackson</x:v>
      </x:c>
      <x:c r="F277" s="11" t="str">
        <x:v>Official #BookTok Top 20</x:v>
      </x:c>
      <x:c r="G277" s="11" t="str">
        <x:v>Media Control &amp; TikTok</x:v>
      </x:c>
      <x:c r="H277" s="11" t="n">
        <x:v>202405</x:v>
      </x:c>
      <x:c r="I277" s="11" t="str">
        <x:v>Complete</x:v>
      </x:c>
      <x:c r="J277" s="11" t="str">
        <x:v>Yes</x:v>
      </x:c>
    </x:row>
    <x:row r="278">
      <x:c r="A278" s="11" t="str">
        <x:v>2024-05</x:v>
      </x:c>
      <x:c r="B278" s="11" t="n">
        <x:v>17</x:v>
      </x:c>
      <x:c r="C278" s="11" t="str">
        <x:v>Twisted Hate</x:v>
      </x:c>
      <x:c r="D278" s="11" t="str">
        <x:v>Twisted Hate</x:v>
      </x:c>
      <x:c r="E278" s="11" t="str">
        <x:v>Ana Huang</x:v>
      </x:c>
      <x:c r="F278" s="11" t="str">
        <x:v>Official #BookTok Top 20</x:v>
      </x:c>
      <x:c r="G278" s="11" t="str">
        <x:v>Media Control &amp; TikTok</x:v>
      </x:c>
      <x:c r="H278" s="11" t="n">
        <x:v>202405</x:v>
      </x:c>
      <x:c r="I278" s="11" t="str">
        <x:v>Complete</x:v>
      </x:c>
      <x:c r="J278" s="11" t="str">
        <x:v>Yes</x:v>
      </x:c>
    </x:row>
    <x:row r="279">
      <x:c r="A279" s="11" t="str">
        <x:v>2024-05</x:v>
      </x:c>
      <x:c r="B279" s="11" t="n">
        <x:v>18</x:v>
      </x:c>
      <x:c r="C279" s="11" t="str">
        <x:v>Girl in Pieces</x:v>
      </x:c>
      <x:c r="D279" s="11" t="str">
        <x:v>Girl in Pieces</x:v>
      </x:c>
      <x:c r="E279" s="11" t="str">
        <x:v>Kathleen Glasgow</x:v>
      </x:c>
      <x:c r="F279" s="11" t="str">
        <x:v>Official #BookTok Top 20</x:v>
      </x:c>
      <x:c r="G279" s="11" t="str">
        <x:v>Media Control &amp; TikTok</x:v>
      </x:c>
      <x:c r="H279" s="11" t="n">
        <x:v>202405</x:v>
      </x:c>
      <x:c r="I279" s="11" t="str">
        <x:v>Complete</x:v>
      </x:c>
      <x:c r="J279" s="11" t="str">
        <x:v>Yes</x:v>
      </x:c>
    </x:row>
    <x:row r="280">
      <x:c r="A280" s="11" t="str">
        <x:v>2024-05</x:v>
      </x:c>
      <x:c r="B280" s="11" t="n">
        <x:v>19</x:v>
      </x:c>
      <x:c r="C280" s="11" t="str">
        <x:v>King of Wrath</x:v>
      </x:c>
      <x:c r="D280" s="11" t="str">
        <x:v>King of Wrath</x:v>
      </x:c>
      <x:c r="E280" s="11" t="str">
        <x:v>Ana Huang</x:v>
      </x:c>
      <x:c r="F280" s="11" t="str">
        <x:v>Official #BookTok Top 20</x:v>
      </x:c>
      <x:c r="G280" s="11" t="str">
        <x:v>Media Control &amp; TikTok</x:v>
      </x:c>
      <x:c r="H280" s="11" t="n">
        <x:v>202405</x:v>
      </x:c>
      <x:c r="I280" s="11" t="str">
        <x:v>Complete</x:v>
      </x:c>
      <x:c r="J280" s="11" t="str">
        <x:v>Yes</x:v>
      </x:c>
    </x:row>
    <x:row r="281">
      <x:c r="A281" s="11" t="str">
        <x:v>2024-05</x:v>
      </x:c>
      <x:c r="B281" s="11" t="n">
        <x:v>20</x:v>
      </x:c>
      <x:c r="C281" s="11" t="str">
        <x:v>Funny Story</x:v>
      </x:c>
      <x:c r="D281" s="11" t="str">
        <x:v>Funny Story</x:v>
      </x:c>
      <x:c r="E281" s="11" t="str">
        <x:v>Emily Henry</x:v>
      </x:c>
      <x:c r="F281" s="11" t="str">
        <x:v>Official #BookTok Top 20</x:v>
      </x:c>
      <x:c r="G281" s="11" t="str">
        <x:v>Media Control &amp; TikTok</x:v>
      </x:c>
      <x:c r="H281" s="11" t="n">
        <x:v>202405</x:v>
      </x:c>
      <x:c r="I281" s="11" t="str">
        <x:v>Complete</x:v>
      </x:c>
      <x:c r="J281" s="11" t="str">
        <x:v>Yes</x:v>
      </x:c>
    </x:row>
    <x:row r="282">
      <x:c r="A282" s="11" t="str">
        <x:v>2024-06</x:v>
      </x:c>
      <x:c r="B282" s="11" t="n">
        <x:v>1</x:v>
      </x:c>
      <x:c r="C282" s="11" t="str">
        <x:v>Save Me</x:v>
      </x:c>
      <x:c r="D282" s="11" t="str">
        <x:v>Save Me</x:v>
      </x:c>
      <x:c r="E282" s="11" t="str">
        <x:v>Mona Kasten</x:v>
      </x:c>
      <x:c r="F282" s="11" t="str">
        <x:v>Official #BookTok Top 20</x:v>
      </x:c>
      <x:c r="G282" s="11" t="str">
        <x:v>Media Control &amp; TikTok</x:v>
      </x:c>
      <x:c r="H282" s="11" t="n">
        <x:v>202406</x:v>
      </x:c>
      <x:c r="I282" s="11" t="str">
        <x:v>Complete</x:v>
      </x:c>
      <x:c r="J282" s="11" t="str">
        <x:v>Yes</x:v>
      </x:c>
    </x:row>
    <x:row r="283">
      <x:c r="A283" s="11" t="str">
        <x:v>2024-06</x:v>
      </x:c>
      <x:c r="B283" s="11" t="n">
        <x:v>2</x:v>
      </x:c>
      <x:c r="C283" s="11" t="str">
        <x:v>The Ballad of Never After</x:v>
      </x:c>
      <x:c r="D283" s="11" t="str">
        <x:v>The Ballad of Never After</x:v>
      </x:c>
      <x:c r="E283" s="11" t="str">
        <x:v>Stephanie Garber</x:v>
      </x:c>
      <x:c r="F283" s="11" t="str">
        <x:v>Official #BookTok Top 20</x:v>
      </x:c>
      <x:c r="G283" s="11" t="str">
        <x:v>Media Control &amp; TikTok</x:v>
      </x:c>
      <x:c r="H283" s="11" t="n">
        <x:v>202406</x:v>
      </x:c>
      <x:c r="I283" s="11" t="str">
        <x:v>Complete</x:v>
      </x:c>
      <x:c r="J283" s="11" t="str">
        <x:v>Yes</x:v>
      </x:c>
    </x:row>
    <x:row r="284">
      <x:c r="A284" s="11" t="str">
        <x:v>2024-06</x:v>
      </x:c>
      <x:c r="B284" s="11" t="n">
        <x:v>3</x:v>
      </x:c>
      <x:c r="C284" s="11" t="str">
        <x:v>Haunting Adeline 01</x:v>
      </x:c>
      <x:c r="D284" s="11" t="str">
        <x:v>Haunting Adeline 01</x:v>
      </x:c>
      <x:c r="E284" s="11" t="str">
        <x:v>H. D. Carlton</x:v>
      </x:c>
      <x:c r="F284" s="11" t="str">
        <x:v>Official #BookTok Top 20</x:v>
      </x:c>
      <x:c r="G284" s="11" t="str">
        <x:v>Media Control &amp; TikTok</x:v>
      </x:c>
      <x:c r="H284" s="11" t="n">
        <x:v>202406</x:v>
      </x:c>
      <x:c r="I284" s="11" t="str">
        <x:v>Complete</x:v>
      </x:c>
      <x:c r="J284" s="11" t="str">
        <x:v>Yes</x:v>
      </x:c>
    </x:row>
    <x:row r="285">
      <x:c r="A285" s="11" t="str">
        <x:v>2024-06</x:v>
      </x:c>
      <x:c r="B285" s="11" t="n">
        <x:v>4</x:v>
      </x:c>
      <x:c r="C285" s="11" t="str">
        <x:v>Icebreaker</x:v>
      </x:c>
      <x:c r="D285" s="11" t="str">
        <x:v>Icebreaker</x:v>
      </x:c>
      <x:c r="E285" s="11" t="str">
        <x:v>Hannah Grace</x:v>
      </x:c>
      <x:c r="F285" s="11" t="str">
        <x:v>Official #BookTok Top 20</x:v>
      </x:c>
      <x:c r="G285" s="11" t="str">
        <x:v>Media Control &amp; TikTok</x:v>
      </x:c>
      <x:c r="H285" s="11" t="n">
        <x:v>202406</x:v>
      </x:c>
      <x:c r="I285" s="11" t="str">
        <x:v>Complete</x:v>
      </x:c>
      <x:c r="J285" s="11" t="str">
        <x:v>Yes</x:v>
      </x:c>
    </x:row>
    <x:row r="286">
      <x:c r="A286" s="11" t="str">
        <x:v>2024-06</x:v>
      </x:c>
      <x:c r="B286" s="11" t="n">
        <x:v>5</x:v>
      </x:c>
      <x:c r="C286" s="11" t="str">
        <x:v>Nur noch ein einziges Mal</x:v>
      </x:c>
      <x:c r="D286" s="11" t="str">
        <x:v>Nur noch ein einziges Mal</x:v>
      </x:c>
      <x:c r="E286" s="11" t="str">
        <x:v>Colleen Hoover</x:v>
      </x:c>
      <x:c r="F286" s="11" t="str">
        <x:v>Official #BookTok Top 20</x:v>
      </x:c>
      <x:c r="G286" s="11" t="str">
        <x:v>Media Control &amp; TikTok</x:v>
      </x:c>
      <x:c r="H286" s="11" t="n">
        <x:v>202406</x:v>
      </x:c>
      <x:c r="I286" s="11" t="str">
        <x:v>Complete</x:v>
      </x:c>
      <x:c r="J286" s="11" t="str">
        <x:v>Yes</x:v>
      </x:c>
    </x:row>
    <x:row r="287">
      <x:c r="A287" s="11" t="str">
        <x:v>2024-06</x:v>
      </x:c>
      <x:c r="B287" s="11" t="n">
        <x:v>6</x:v>
      </x:c>
      <x:c r="C287" s="11" t="str">
        <x:v>Coldhart - Deep &amp; Shallow</x:v>
      </x:c>
      <x:c r="D287" s="11" t="str">
        <x:v>Coldhart - Deep &amp; Shallow</x:v>
      </x:c>
      <x:c r="E287" s="11" t="str">
        <x:v>Lena Kiefer</x:v>
      </x:c>
      <x:c r="F287" s="11" t="str">
        <x:v>Official #BookTok Top 20</x:v>
      </x:c>
      <x:c r="G287" s="11" t="str">
        <x:v>Media Control &amp; TikTok</x:v>
      </x:c>
      <x:c r="H287" s="11" t="n">
        <x:v>202406</x:v>
      </x:c>
      <x:c r="I287" s="11" t="str">
        <x:v>Complete</x:v>
      </x:c>
      <x:c r="J287" s="11" t="str">
        <x:v>Yes</x:v>
      </x:c>
    </x:row>
    <x:row r="288">
      <x:c r="A288" s="11" t="str">
        <x:v>2024-06</x:v>
      </x:c>
      <x:c r="B288" s="11" t="n">
        <x:v>7</x:v>
      </x:c>
      <x:c r="C288" s="11" t="str">
        <x:v>Corrupt - Dunkle Versuchung</x:v>
      </x:c>
      <x:c r="D288" s="11" t="str">
        <x:v>Corrupt - Dunkle Versuchung</x:v>
      </x:c>
      <x:c r="E288" s="11" t="str">
        <x:v>Penelope Douglas</x:v>
      </x:c>
      <x:c r="F288" s="11" t="str">
        <x:v>Official #BookTok Top 20</x:v>
      </x:c>
      <x:c r="G288" s="11" t="str">
        <x:v>Media Control &amp; TikTok</x:v>
      </x:c>
      <x:c r="H288" s="11" t="n">
        <x:v>202406</x:v>
      </x:c>
      <x:c r="I288" s="11" t="str">
        <x:v>Complete</x:v>
      </x:c>
      <x:c r="J288" s="11" t="str">
        <x:v>Yes</x:v>
      </x:c>
    </x:row>
    <x:row r="289">
      <x:c r="A289" s="11" t="str">
        <x:v>2024-06</x:v>
      </x:c>
      <x:c r="B289" s="11" t="n">
        <x:v>8</x:v>
      </x:c>
      <x:c r="C289" s="11" t="str">
        <x:v>Hunting Adeline 02</x:v>
      </x:c>
      <x:c r="D289" s="11" t="str">
        <x:v>Hunting Adeline 02</x:v>
      </x:c>
      <x:c r="E289" s="11" t="str">
        <x:v>H. D. Carlton</x:v>
      </x:c>
      <x:c r="F289" s="11" t="str">
        <x:v>Official #BookTok Top 20</x:v>
      </x:c>
      <x:c r="G289" s="11" t="str">
        <x:v>Media Control &amp; TikTok</x:v>
      </x:c>
      <x:c r="H289" s="11" t="n">
        <x:v>202406</x:v>
      </x:c>
      <x:c r="I289" s="11" t="str">
        <x:v>Complete</x:v>
      </x:c>
      <x:c r="J289" s="11" t="str">
        <x:v>Yes</x:v>
      </x:c>
    </x:row>
    <x:row r="290">
      <x:c r="A290" s="11" t="str">
        <x:v>2024-06</x:v>
      </x:c>
      <x:c r="B290" s="11" t="n">
        <x:v>9</x:v>
      </x:c>
      <x:c r="C290" s="11" t="str">
        <x:v>Culpa Tuya - Deine Schuld</x:v>
      </x:c>
      <x:c r="D290" s="11" t="str">
        <x:v>Culpa Tuya - Deine Schuld</x:v>
      </x:c>
      <x:c r="E290" s="11" t="str">
        <x:v>Mercedes Ron</x:v>
      </x:c>
      <x:c r="F290" s="11" t="str">
        <x:v>Official #BookTok Top 20</x:v>
      </x:c>
      <x:c r="G290" s="11" t="str">
        <x:v>Media Control &amp; TikTok</x:v>
      </x:c>
      <x:c r="H290" s="11" t="n">
        <x:v>202406</x:v>
      </x:c>
      <x:c r="I290" s="11" t="str">
        <x:v>Complete</x:v>
      </x:c>
      <x:c r="J290" s="11" t="str">
        <x:v>Yes</x:v>
      </x:c>
    </x:row>
    <x:row r="291">
      <x:c r="A291" s="11" t="str">
        <x:v>2024-06</x:v>
      </x:c>
      <x:c r="B291" s="11" t="n">
        <x:v>10</x:v>
      </x:c>
      <x:c r="C291" s="11" t="str">
        <x:v>King of Greed</x:v>
      </x:c>
      <x:c r="D291" s="11" t="str">
        <x:v>King of Greed</x:v>
      </x:c>
      <x:c r="E291" s="11" t="str">
        <x:v>Ana Huang</x:v>
      </x:c>
      <x:c r="F291" s="11" t="str">
        <x:v>Official #BookTok Top 20</x:v>
      </x:c>
      <x:c r="G291" s="11" t="str">
        <x:v>Media Control &amp; TikTok</x:v>
      </x:c>
      <x:c r="H291" s="11" t="n">
        <x:v>202406</x:v>
      </x:c>
      <x:c r="I291" s="11" t="str">
        <x:v>Complete</x:v>
      </x:c>
      <x:c r="J291" s="11" t="str">
        <x:v>Yes</x:v>
      </x:c>
    </x:row>
    <x:row r="292">
      <x:c r="A292" s="11" t="str">
        <x:v>2024-06</x:v>
      </x:c>
      <x:c r="B292" s="11" t="n">
        <x:v>11</x:v>
      </x:c>
      <x:c r="C292" s="11" t="str">
        <x:v>Golden Bay - How it hurts</x:v>
      </x:c>
      <x:c r="D292" s="11" t="str">
        <x:v>Golden Bay - How it hurts</x:v>
      </x:c>
      <x:c r="E292" s="11" t="str">
        <x:v>Bianca Iosivoni</x:v>
      </x:c>
      <x:c r="F292" s="11" t="str">
        <x:v>Official #BookTok Top 20</x:v>
      </x:c>
      <x:c r="G292" s="11" t="str">
        <x:v>Media Control &amp; TikTok</x:v>
      </x:c>
      <x:c r="H292" s="11" t="n">
        <x:v>202406</x:v>
      </x:c>
      <x:c r="I292" s="11" t="str">
        <x:v>Complete</x:v>
      </x:c>
      <x:c r="J292" s="11" t="str">
        <x:v>Yes</x:v>
      </x:c>
    </x:row>
    <x:row r="293">
      <x:c r="A293" s="11" t="str">
        <x:v>2024-06</x:v>
      </x:c>
      <x:c r="B293" s="11" t="n">
        <x:v>12</x:v>
      </x:c>
      <x:c r="C293" s="11" t="str">
        <x:v>Verity</x:v>
      </x:c>
      <x:c r="D293" s="11" t="str">
        <x:v>Verity</x:v>
      </x:c>
      <x:c r="E293" s="11" t="str">
        <x:v>Colleen Hoover</x:v>
      </x:c>
      <x:c r="F293" s="11" t="str">
        <x:v>Official #BookTok Top 20</x:v>
      </x:c>
      <x:c r="G293" s="11" t="str">
        <x:v>Media Control &amp; TikTok</x:v>
      </x:c>
      <x:c r="H293" s="11" t="n">
        <x:v>202406</x:v>
      </x:c>
      <x:c r="I293" s="11" t="str">
        <x:v>Complete</x:v>
      </x:c>
      <x:c r="J293" s="11" t="str">
        <x:v>Yes</x:v>
      </x:c>
    </x:row>
    <x:row r="294">
      <x:c r="A294" s="11" t="str">
        <x:v>2024-06</x:v>
      </x:c>
      <x:c r="B294" s="11" t="n">
        <x:v>13</x:v>
      </x:c>
      <x:c r="C294" s="11" t="str">
        <x:v>Wildfire</x:v>
      </x:c>
      <x:c r="D294" s="11" t="str">
        <x:v>Wildfire</x:v>
      </x:c>
      <x:c r="E294" s="11" t="str">
        <x:v>Hannah Grace</x:v>
      </x:c>
      <x:c r="F294" s="11" t="str">
        <x:v>Official #BookTok Top 20</x:v>
      </x:c>
      <x:c r="G294" s="11" t="str">
        <x:v>Media Control &amp; TikTok</x:v>
      </x:c>
      <x:c r="H294" s="11" t="n">
        <x:v>202406</x:v>
      </x:c>
      <x:c r="I294" s="11" t="str">
        <x:v>Complete</x:v>
      </x:c>
      <x:c r="J294" s="11" t="str">
        <x:v>Yes</x:v>
      </x:c>
    </x:row>
    <x:row r="295">
      <x:c r="A295" s="11" t="str">
        <x:v>2024-06</x:v>
      </x:c>
      <x:c r="B295" s="11" t="n">
        <x:v>14</x:v>
      </x:c>
      <x:c r="C295" s="11" t="str">
        <x:v>WHISPERS. Die Wahrheit wird dich zerstören</x:v>
      </x:c>
      <x:c r="D295" s="11" t="str">
        <x:v>WHISPERS. Die Wahrheit wird dich zerstören</x:v>
      </x:c>
      <x:c r="E295" s="11" t="str">
        <x:v>Ayla Dade</x:v>
      </x:c>
      <x:c r="F295" s="11" t="str">
        <x:v>Official #BookTok Top 20</x:v>
      </x:c>
      <x:c r="G295" s="11" t="str">
        <x:v>Media Control &amp; TikTok</x:v>
      </x:c>
      <x:c r="H295" s="11" t="n">
        <x:v>202406</x:v>
      </x:c>
      <x:c r="I295" s="11" t="str">
        <x:v>Complete</x:v>
      </x:c>
      <x:c r="J295" s="11" t="str">
        <x:v>Yes</x:v>
      </x:c>
    </x:row>
    <x:row r="296">
      <x:c r="A296" s="11" t="str">
        <x:v>2024-06</x:v>
      </x:c>
      <x:c r="B296" s="11" t="n">
        <x:v>15</x:v>
      </x:c>
      <x:c r="C296" s="11" t="str">
        <x:v>Twisted Dreams</x:v>
      </x:c>
      <x:c r="D296" s="11" t="str">
        <x:v>Twisted Dreams</x:v>
      </x:c>
      <x:c r="E296" s="11" t="str">
        <x:v>Ana Huang</x:v>
      </x:c>
      <x:c r="F296" s="11" t="str">
        <x:v>Official #BookTok Top 20</x:v>
      </x:c>
      <x:c r="G296" s="11" t="str">
        <x:v>Media Control &amp; TikTok</x:v>
      </x:c>
      <x:c r="H296" s="11" t="n">
        <x:v>202406</x:v>
      </x:c>
      <x:c r="I296" s="11" t="str">
        <x:v>Complete</x:v>
      </x:c>
      <x:c r="J296" s="11" t="str">
        <x:v>Yes</x:v>
      </x:c>
    </x:row>
    <x:row r="297">
      <x:c r="A297" s="11" t="str">
        <x:v>2024-06</x:v>
      </x:c>
      <x:c r="B297" s="11" t="n">
        <x:v>16</x:v>
      </x:c>
      <x:c r="C297" s="11" t="str">
        <x:v>Consider Me (Playing for Keeps 1)</x:v>
      </x:c>
      <x:c r="D297" s="11" t="str">
        <x:v>Consider Me (Playing for Keeps 1)</x:v>
      </x:c>
      <x:c r="E297" s="11" t="str">
        <x:v>Becka Mack</x:v>
      </x:c>
      <x:c r="F297" s="11" t="str">
        <x:v>Official #BookTok Top 20</x:v>
      </x:c>
      <x:c r="G297" s="11" t="str">
        <x:v>Media Control &amp; TikTok</x:v>
      </x:c>
      <x:c r="H297" s="11" t="n">
        <x:v>202406</x:v>
      </x:c>
      <x:c r="I297" s="11" t="str">
        <x:v>Complete</x:v>
      </x:c>
      <x:c r="J297" s="11" t="str">
        <x:v>Yes</x:v>
      </x:c>
    </x:row>
    <x:row r="298">
      <x:c r="A298" s="11" t="str">
        <x:v>2024-06</x:v>
      </x:c>
      <x:c r="B298" s="11" t="n">
        <x:v>17</x:v>
      </x:c>
      <x:c r="C298" s="11" t="str">
        <x:v>Nächsten Sommer am See</x:v>
      </x:c>
      <x:c r="D298" s="11" t="str">
        <x:v>Nächsten Sommer am See</x:v>
      </x:c>
      <x:c r="E298" s="11" t="str">
        <x:v>Carley Fortune</x:v>
      </x:c>
      <x:c r="F298" s="11" t="str">
        <x:v>Official #BookTok Top 20</x:v>
      </x:c>
      <x:c r="G298" s="11" t="str">
        <x:v>Media Control &amp; TikTok</x:v>
      </x:c>
      <x:c r="H298" s="11" t="n">
        <x:v>202406</x:v>
      </x:c>
      <x:c r="I298" s="11" t="str">
        <x:v>Complete</x:v>
      </x:c>
      <x:c r="J298" s="11" t="str">
        <x:v>Yes</x:v>
      </x:c>
    </x:row>
    <x:row r="299">
      <x:c r="A299" s="11" t="str">
        <x:v>2024-06</x:v>
      </x:c>
      <x:c r="B299" s="11" t="n">
        <x:v>18</x:v>
      </x:c>
      <x:c r="C299" s="11" t="str">
        <x:v>Mile High</x:v>
      </x:c>
      <x:c r="D299" s="11" t="str">
        <x:v>Mile High</x:v>
      </x:c>
      <x:c r="E299" s="11" t="str">
        <x:v>Liz Tomforde</x:v>
      </x:c>
      <x:c r="F299" s="11" t="str">
        <x:v>Official #BookTok Top 20</x:v>
      </x:c>
      <x:c r="G299" s="11" t="str">
        <x:v>Media Control &amp; TikTok</x:v>
      </x:c>
      <x:c r="H299" s="11" t="n">
        <x:v>202406</x:v>
      </x:c>
      <x:c r="I299" s="11" t="str">
        <x:v>Complete</x:v>
      </x:c>
      <x:c r="J299" s="11" t="str">
        <x:v>Yes</x:v>
      </x:c>
    </x:row>
    <x:row r="300">
      <x:c r="A300" s="11" t="str">
        <x:v>2024-06</x:v>
      </x:c>
      <x:c r="B300" s="11" t="n">
        <x:v>19</x:v>
      </x:c>
      <x:c r="C300" s="11" t="str">
        <x:v>Fourth Wing - Flammengeküsst</x:v>
      </x:c>
      <x:c r="D300" s="11" t="str">
        <x:v>Fourth Wing - Flammengeküsst</x:v>
      </x:c>
      <x:c r="E300" s="11" t="str">
        <x:v>Rebecca Yarros</x:v>
      </x:c>
      <x:c r="F300" s="11" t="str">
        <x:v>Official #BookTok Top 20</x:v>
      </x:c>
      <x:c r="G300" s="11" t="str">
        <x:v>Media Control &amp; TikTok</x:v>
      </x:c>
      <x:c r="H300" s="11" t="n">
        <x:v>202406</x:v>
      </x:c>
      <x:c r="I300" s="11" t="str">
        <x:v>Complete</x:v>
      </x:c>
      <x:c r="J300" s="11" t="str">
        <x:v>Yes</x:v>
      </x:c>
    </x:row>
    <x:row r="301">
      <x:c r="A301" s="11" t="str">
        <x:v>2024-06</x:v>
      </x:c>
      <x:c r="B301" s="11" t="n">
        <x:v>20</x:v>
      </x:c>
      <x:c r="C301" s="11" t="str">
        <x:v>Iron Flame - Flammengeküsst</x:v>
      </x:c>
      <x:c r="D301" s="11" t="str">
        <x:v>Iron Flame - Flammengeküsst</x:v>
      </x:c>
      <x:c r="E301" s="11" t="str">
        <x:v>Rebecca Yarros</x:v>
      </x:c>
      <x:c r="F301" s="11" t="str">
        <x:v>Official #BookTok Top 20</x:v>
      </x:c>
      <x:c r="G301" s="11" t="str">
        <x:v>Media Control &amp; TikTok</x:v>
      </x:c>
      <x:c r="H301" s="11" t="n">
        <x:v>202406</x:v>
      </x:c>
      <x:c r="I301" s="11" t="str">
        <x:v>Complete</x:v>
      </x:c>
      <x:c r="J301" s="11" t="str">
        <x:v>Yes</x:v>
      </x:c>
    </x:row>
    <x:row r="302">
      <x:c r="A302" s="11" t="str">
        <x:v>2024-07</x:v>
      </x:c>
      <x:c r="B302" s="11" t="n">
        <x:v>1</x:v>
      </x:c>
      <x:c r="C302" s="11" t="str">
        <x:v>This could be love</x:v>
      </x:c>
      <x:c r="D302" s="11" t="str">
        <x:v>This could be love</x:v>
      </x:c>
      <x:c r="E302" s="11" t="str">
        <x:v>Lilly Lucas</x:v>
      </x:c>
      <x:c r="F302" s="11" t="str">
        <x:v>Official #BookTok Top 20</x:v>
      </x:c>
      <x:c r="G302" s="11" t="str">
        <x:v>Media Control &amp; TikTok</x:v>
      </x:c>
      <x:c r="H302" s="11" t="n">
        <x:v>202407</x:v>
      </x:c>
      <x:c r="I302" s="11" t="str">
        <x:v>Complete</x:v>
      </x:c>
      <x:c r="J302" s="11" t="str">
        <x:v>Yes</x:v>
      </x:c>
    </x:row>
    <x:row r="303">
      <x:c r="A303" s="11" t="str">
        <x:v>2024-07</x:v>
      </x:c>
      <x:c r="B303" s="11" t="n">
        <x:v>2</x:v>
      </x:c>
      <x:c r="C303" s="11" t="str">
        <x:v>When The Moon Hatched</x:v>
      </x:c>
      <x:c r="D303" s="11" t="str">
        <x:v>When The Moon Hatched</x:v>
      </x:c>
      <x:c r="E303" s="11" t="str">
        <x:v>Sarah A. Parker</x:v>
      </x:c>
      <x:c r="F303" s="11" t="str">
        <x:v>Official #BookTok Top 20</x:v>
      </x:c>
      <x:c r="G303" s="11" t="str">
        <x:v>Media Control &amp; TikTok</x:v>
      </x:c>
      <x:c r="H303" s="11" t="n">
        <x:v>202407</x:v>
      </x:c>
      <x:c r="I303" s="11" t="str">
        <x:v>Complete</x:v>
      </x:c>
      <x:c r="J303" s="11" t="str">
        <x:v>Yes</x:v>
      </x:c>
    </x:row>
    <x:row r="304">
      <x:c r="A304" s="11" t="str">
        <x:v>2024-07</x:v>
      </x:c>
      <x:c r="B304" s="11" t="n">
        <x:v>3</x:v>
      </x:c>
      <x:c r="C304" s="11" t="str">
        <x:v>Icebreaker</x:v>
      </x:c>
      <x:c r="D304" s="11" t="str">
        <x:v>Icebreaker</x:v>
      </x:c>
      <x:c r="E304" s="11" t="str">
        <x:v>Hannah Grace</x:v>
      </x:c>
      <x:c r="F304" s="11" t="str">
        <x:v>Official #BookTok Top 20</x:v>
      </x:c>
      <x:c r="G304" s="11" t="str">
        <x:v>Media Control &amp; TikTok</x:v>
      </x:c>
      <x:c r="H304" s="11" t="n">
        <x:v>202407</x:v>
      </x:c>
      <x:c r="I304" s="11" t="str">
        <x:v>Complete</x:v>
      </x:c>
      <x:c r="J304" s="11" t="str">
        <x:v>Yes</x:v>
      </x:c>
    </x:row>
    <x:row r="305">
      <x:c r="A305" s="11" t="str">
        <x:v>2024-07</x:v>
      </x:c>
      <x:c r="B305" s="11" t="n">
        <x:v>4</x:v>
      </x:c>
      <x:c r="C305" s="11" t="str">
        <x:v>Nur noch ein einziges Mal</x:v>
      </x:c>
      <x:c r="D305" s="11" t="str">
        <x:v>Nur noch ein einziges Mal</x:v>
      </x:c>
      <x:c r="E305" s="11" t="str">
        <x:v>Colleen Hoover</x:v>
      </x:c>
      <x:c r="F305" s="11" t="str">
        <x:v>Official #BookTok Top 20</x:v>
      </x:c>
      <x:c r="G305" s="11" t="str">
        <x:v>Media Control &amp; TikTok</x:v>
      </x:c>
      <x:c r="H305" s="11" t="n">
        <x:v>202407</x:v>
      </x:c>
      <x:c r="I305" s="11" t="str">
        <x:v>Complete</x:v>
      </x:c>
      <x:c r="J305" s="11" t="str">
        <x:v>Yes</x:v>
      </x:c>
    </x:row>
    <x:row r="306">
      <x:c r="A306" s="11" t="str">
        <x:v>2024-07</x:v>
      </x:c>
      <x:c r="B306" s="11" t="n">
        <x:v>5</x:v>
      </x:c>
      <x:c r="C306" s="11" t="str">
        <x:v>Haunting Adeline 01</x:v>
      </x:c>
      <x:c r="D306" s="11" t="str">
        <x:v>Haunting Adeline 01</x:v>
      </x:c>
      <x:c r="E306" s="11" t="str">
        <x:v>H. D. Carlton</x:v>
      </x:c>
      <x:c r="F306" s="11" t="str">
        <x:v>Official #BookTok Top 20</x:v>
      </x:c>
      <x:c r="G306" s="11" t="str">
        <x:v>Media Control &amp; TikTok</x:v>
      </x:c>
      <x:c r="H306" s="11" t="n">
        <x:v>202407</x:v>
      </x:c>
      <x:c r="I306" s="11" t="str">
        <x:v>Complete</x:v>
      </x:c>
      <x:c r="J306" s="11" t="str">
        <x:v>Yes</x:v>
      </x:c>
    </x:row>
    <x:row r="307">
      <x:c r="A307" s="11" t="str">
        <x:v>2024-07</x:v>
      </x:c>
      <x:c r="B307" s="11" t="n">
        <x:v>6</x:v>
      </x:c>
      <x:c r="C307" s="11" t="str">
        <x:v>Reckless</x:v>
      </x:c>
      <x:c r="D307" s="11" t="str">
        <x:v>Reckless</x:v>
      </x:c>
      <x:c r="E307" s="11" t="str">
        <x:v>Lauren Roberts</x:v>
      </x:c>
      <x:c r="F307" s="11" t="str">
        <x:v>Official #BookTok Top 20</x:v>
      </x:c>
      <x:c r="G307" s="11" t="str">
        <x:v>Media Control &amp; TikTok</x:v>
      </x:c>
      <x:c r="H307" s="11" t="n">
        <x:v>202407</x:v>
      </x:c>
      <x:c r="I307" s="11" t="str">
        <x:v>Complete</x:v>
      </x:c>
      <x:c r="J307" s="11" t="str">
        <x:v>Yes</x:v>
      </x:c>
    </x:row>
    <x:row r="308">
      <x:c r="A308" s="11" t="str">
        <x:v>2024-07</x:v>
      </x:c>
      <x:c r="B308" s="11" t="n">
        <x:v>7</x:v>
      </x:c>
      <x:c r="C308" s="11" t="str">
        <x:v>Boys of Tommen 2: Keeping 13</x:v>
      </x:c>
      <x:c r="D308" s="11" t="str">
        <x:v>Boys of Tommen 2: Keeping 13</x:v>
      </x:c>
      <x:c r="E308" s="11" t="str">
        <x:v>Chloe Walsh</x:v>
      </x:c>
      <x:c r="F308" s="11" t="str">
        <x:v>Official #BookTok Top 20</x:v>
      </x:c>
      <x:c r="G308" s="11" t="str">
        <x:v>Media Control &amp; TikTok</x:v>
      </x:c>
      <x:c r="H308" s="11" t="n">
        <x:v>202407</x:v>
      </x:c>
      <x:c r="I308" s="11" t="str">
        <x:v>Complete</x:v>
      </x:c>
      <x:c r="J308" s="11" t="str">
        <x:v>Yes</x:v>
      </x:c>
    </x:row>
    <x:row r="309">
      <x:c r="A309" s="11" t="str">
        <x:v>2024-07</x:v>
      </x:c>
      <x:c r="B309" s="11" t="n">
        <x:v>8</x:v>
      </x:c>
      <x:c r="C309" s="11" t="str">
        <x:v>Hunting Adeline 02</x:v>
      </x:c>
      <x:c r="D309" s="11" t="str">
        <x:v>Hunting Adeline 02</x:v>
      </x:c>
      <x:c r="E309" s="11" t="str">
        <x:v>H. D. Carlton</x:v>
      </x:c>
      <x:c r="F309" s="11" t="str">
        <x:v>Official #BookTok Top 20</x:v>
      </x:c>
      <x:c r="G309" s="11" t="str">
        <x:v>Media Control &amp; TikTok</x:v>
      </x:c>
      <x:c r="H309" s="11" t="n">
        <x:v>202407</x:v>
      </x:c>
      <x:c r="I309" s="11" t="str">
        <x:v>Complete</x:v>
      </x:c>
      <x:c r="J309" s="11" t="str">
        <x:v>Yes</x:v>
      </x:c>
    </x:row>
    <x:row r="310">
      <x:c r="A310" s="11" t="str">
        <x:v>2024-07</x:v>
      </x:c>
      <x:c r="B310" s="11" t="n">
        <x:v>9</x:v>
      </x:c>
      <x:c r="C310" s="11" t="str">
        <x:v>Twisted Games</x:v>
      </x:c>
      <x:c r="D310" s="11" t="str">
        <x:v>Twisted Games</x:v>
      </x:c>
      <x:c r="E310" s="11" t="str">
        <x:v>Ana Huang</x:v>
      </x:c>
      <x:c r="F310" s="11" t="str">
        <x:v>Official #BookTok Top 20</x:v>
      </x:c>
      <x:c r="G310" s="11" t="str">
        <x:v>Media Control &amp; TikTok</x:v>
      </x:c>
      <x:c r="H310" s="11" t="n">
        <x:v>202407</x:v>
      </x:c>
      <x:c r="I310" s="11" t="str">
        <x:v>Complete</x:v>
      </x:c>
      <x:c r="J310" s="11" t="str">
        <x:v>Yes</x:v>
      </x:c>
    </x:row>
    <x:row r="311">
      <x:c r="A311" s="11" t="str">
        <x:v>2024-07</x:v>
      </x:c>
      <x:c r="B311" s="11" t="n">
        <x:v>10</x:v>
      </x:c>
      <x:c r="C311" s="11" t="str">
        <x:v>Powerless</x:v>
      </x:c>
      <x:c r="D311" s="11" t="str">
        <x:v>Powerless - Das Spiel</x:v>
      </x:c>
      <x:c r="E311" s="11" t="str">
        <x:v>Lauren Roberts</x:v>
      </x:c>
      <x:c r="F311" s="11" t="str">
        <x:v>Official #BookTok Top 20</x:v>
      </x:c>
      <x:c r="G311" s="11" t="str">
        <x:v>Media Control &amp; TikTok</x:v>
      </x:c>
      <x:c r="H311" s="11" t="n">
        <x:v>202407</x:v>
      </x:c>
      <x:c r="I311" s="11" t="str">
        <x:v>Complete</x:v>
      </x:c>
      <x:c r="J311" s="11" t="str">
        <x:v>Yes</x:v>
      </x:c>
    </x:row>
    <x:row r="312">
      <x:c r="A312" s="11" t="str">
        <x:v>2024-07</x:v>
      </x:c>
      <x:c r="B312" s="11" t="n">
        <x:v>11</x:v>
      </x:c>
      <x:c r="C312" s="11" t="str">
        <x:v>Corrupt - Dunkle Versuchung</x:v>
      </x:c>
      <x:c r="D312" s="11" t="str">
        <x:v>Corrupt - Dunkle Versuchung</x:v>
      </x:c>
      <x:c r="E312" s="11" t="str">
        <x:v>Penelope Douglas</x:v>
      </x:c>
      <x:c r="F312" s="11" t="str">
        <x:v>Official #BookTok Top 20</x:v>
      </x:c>
      <x:c r="G312" s="11" t="str">
        <x:v>Media Control &amp; TikTok</x:v>
      </x:c>
      <x:c r="H312" s="11" t="n">
        <x:v>202407</x:v>
      </x:c>
      <x:c r="I312" s="11" t="str">
        <x:v>Complete</x:v>
      </x:c>
      <x:c r="J312" s="11" t="str">
        <x:v>Yes</x:v>
      </x:c>
    </x:row>
    <x:row r="313">
      <x:c r="A313" s="11" t="str">
        <x:v>2024-07</x:v>
      </x:c>
      <x:c r="B313" s="11" t="n">
        <x:v>12</x:v>
      </x:c>
      <x:c r="C313" s="11" t="str">
        <x:v>A Good Girl's Guide to Murder</x:v>
      </x:c>
      <x:c r="D313" s="11" t="str">
        <x:v>A Good Girl's Guide to Murder</x:v>
      </x:c>
      <x:c r="E313" s="11" t="str">
        <x:v>Holly Jackson</x:v>
      </x:c>
      <x:c r="F313" s="11" t="str">
        <x:v>Official #BookTok Top 20</x:v>
      </x:c>
      <x:c r="G313" s="11" t="str">
        <x:v>Media Control &amp; TikTok</x:v>
      </x:c>
      <x:c r="H313" s="11" t="n">
        <x:v>202407</x:v>
      </x:c>
      <x:c r="I313" s="11" t="str">
        <x:v>Complete</x:v>
      </x:c>
      <x:c r="J313" s="11" t="str">
        <x:v>Yes</x:v>
      </x:c>
    </x:row>
    <x:row r="314">
      <x:c r="A314" s="11" t="str">
        <x:v>2024-07</x:v>
      </x:c>
      <x:c r="B314" s="11" t="n">
        <x:v>13</x:v>
      </x:c>
      <x:c r="C314" s="11" t="str">
        <x:v>Nächsten Sommer am See</x:v>
      </x:c>
      <x:c r="D314" s="11" t="str">
        <x:v>Nächsten Sommer am See</x:v>
      </x:c>
      <x:c r="E314" s="11" t="str">
        <x:v>Carley Fortune</x:v>
      </x:c>
      <x:c r="F314" s="11" t="str">
        <x:v>Official #BookTok Top 20</x:v>
      </x:c>
      <x:c r="G314" s="11" t="str">
        <x:v>Media Control &amp; TikTok</x:v>
      </x:c>
      <x:c r="H314" s="11" t="n">
        <x:v>202407</x:v>
      </x:c>
      <x:c r="I314" s="11" t="str">
        <x:v>Complete</x:v>
      </x:c>
      <x:c r="J314" s="11" t="str">
        <x:v>Yes</x:v>
      </x:c>
    </x:row>
    <x:row r="315">
      <x:c r="A315" s="11" t="str">
        <x:v>2024-07</x:v>
      </x:c>
      <x:c r="B315" s="11" t="n">
        <x:v>14</x:v>
      </x:c>
      <x:c r="C315" s="11" t="str">
        <x:v>Culpa Mía - Meine Schuld</x:v>
      </x:c>
      <x:c r="D315" s="11" t="str">
        <x:v>Culpa Mía - Meine Schuld</x:v>
      </x:c>
      <x:c r="E315" s="11" t="str">
        <x:v>Mercedes Ron</x:v>
      </x:c>
      <x:c r="F315" s="11" t="str">
        <x:v>Official #BookTok Top 20</x:v>
      </x:c>
      <x:c r="G315" s="11" t="str">
        <x:v>Media Control &amp; TikTok</x:v>
      </x:c>
      <x:c r="H315" s="11" t="n">
        <x:v>202407</x:v>
      </x:c>
      <x:c r="I315" s="11" t="str">
        <x:v>Complete</x:v>
      </x:c>
      <x:c r="J315" s="11" t="str">
        <x:v>Yes</x:v>
      </x:c>
    </x:row>
    <x:row r="316">
      <x:c r="A316" s="11" t="str">
        <x:v>2024-07</x:v>
      </x:c>
      <x:c r="B316" s="11" t="n">
        <x:v>15</x:v>
      </x:c>
      <x:c r="C316" s="11" t="str">
        <x:v>Dark Desire</x:v>
      </x:c>
      <x:c r="D316" s="11" t="str">
        <x:v>Dark Desire</x:v>
      </x:c>
      <x:c r="E316" s="11" t="str">
        <x:v>J. S. Wonda</x:v>
      </x:c>
      <x:c r="F316" s="11" t="str">
        <x:v>Official #BookTok Top 20</x:v>
      </x:c>
      <x:c r="G316" s="11" t="str">
        <x:v>Media Control &amp; TikTok</x:v>
      </x:c>
      <x:c r="H316" s="11" t="n">
        <x:v>202407</x:v>
      </x:c>
      <x:c r="I316" s="11" t="str">
        <x:v>Complete</x:v>
      </x:c>
      <x:c r="J316" s="11" t="str">
        <x:v>Yes</x:v>
      </x:c>
    </x:row>
    <x:row r="317">
      <x:c r="A317" s="11" t="str">
        <x:v>2024-07</x:v>
      </x:c>
      <x:c r="B317" s="11" t="n">
        <x:v>16</x:v>
      </x:c>
      <x:c r="C317" s="11" t="str">
        <x:v>Twisted Hate</x:v>
      </x:c>
      <x:c r="D317" s="11" t="str">
        <x:v>Twisted Hate</x:v>
      </x:c>
      <x:c r="E317" s="11" t="str">
        <x:v>Ana Huang</x:v>
      </x:c>
      <x:c r="F317" s="11" t="str">
        <x:v>Official #BookTok Top 20</x:v>
      </x:c>
      <x:c r="G317" s="11" t="str">
        <x:v>Media Control &amp; TikTok</x:v>
      </x:c>
      <x:c r="H317" s="11" t="n">
        <x:v>202407</x:v>
      </x:c>
      <x:c r="I317" s="11" t="str">
        <x:v>Complete</x:v>
      </x:c>
      <x:c r="J317" s="11" t="str">
        <x:v>Yes</x:v>
      </x:c>
    </x:row>
    <x:row r="318">
      <x:c r="A318" s="11" t="str">
        <x:v>2024-07</x:v>
      </x:c>
      <x:c r="B318" s="11" t="n">
        <x:v>17</x:v>
      </x:c>
      <x:c r="C318" s="11" t="str">
        <x:v>Fourth Wing - Flammengeküsst</x:v>
      </x:c>
      <x:c r="D318" s="11" t="str">
        <x:v>Fourth Wing - Flammengeküsst</x:v>
      </x:c>
      <x:c r="E318" s="11" t="str">
        <x:v>Rebecca Yarros</x:v>
      </x:c>
      <x:c r="F318" s="11" t="str">
        <x:v>Official #BookTok Top 20</x:v>
      </x:c>
      <x:c r="G318" s="11" t="str">
        <x:v>Media Control &amp; TikTok</x:v>
      </x:c>
      <x:c r="H318" s="11" t="n">
        <x:v>202407</x:v>
      </x:c>
      <x:c r="I318" s="11" t="str">
        <x:v>Complete</x:v>
      </x:c>
      <x:c r="J318" s="11" t="str">
        <x:v>Yes</x:v>
      </x:c>
    </x:row>
    <x:row r="319">
      <x:c r="A319" s="11" t="str">
        <x:v>2024-07</x:v>
      </x:c>
      <x:c r="B319" s="11" t="n">
        <x:v>18</x:v>
      </x:c>
      <x:c r="C319" s="11" t="str">
        <x:v>Iron Flame - Flammengeküsst</x:v>
      </x:c>
      <x:c r="D319" s="11" t="str">
        <x:v>Iron Flame - Flammengeküsst</x:v>
      </x:c>
      <x:c r="E319" s="11" t="str">
        <x:v>Rebecca Yarros</x:v>
      </x:c>
      <x:c r="F319" s="11" t="str">
        <x:v>Official #BookTok Top 20</x:v>
      </x:c>
      <x:c r="G319" s="11" t="str">
        <x:v>Media Control &amp; TikTok</x:v>
      </x:c>
      <x:c r="H319" s="11" t="n">
        <x:v>202407</x:v>
      </x:c>
      <x:c r="I319" s="11" t="str">
        <x:v>Complete</x:v>
      </x:c>
      <x:c r="J319" s="11" t="str">
        <x:v>Yes</x:v>
      </x:c>
    </x:row>
    <x:row r="320">
      <x:c r="A320" s="11" t="str">
        <x:v>2024-07</x:v>
      </x:c>
      <x:c r="B320" s="11" t="n">
        <x:v>19</x:v>
      </x:c>
      <x:c r="C320" s="11" t="str">
        <x:v>Wandering Hearts</x:v>
      </x:c>
      <x:c r="D320" s="11" t="str">
        <x:v>Wandering Hearts</x:v>
      </x:c>
      <x:c r="E320" s="11" t="str">
        <x:v>Josi Wismar</x:v>
      </x:c>
      <x:c r="F320" s="11" t="str">
        <x:v>Official #BookTok Top 20</x:v>
      </x:c>
      <x:c r="G320" s="11" t="str">
        <x:v>Media Control &amp; TikTok</x:v>
      </x:c>
      <x:c r="H320" s="11" t="n">
        <x:v>202407</x:v>
      </x:c>
      <x:c r="I320" s="11" t="str">
        <x:v>Complete</x:v>
      </x:c>
      <x:c r="J320" s="11" t="str">
        <x:v>Yes</x:v>
      </x:c>
    </x:row>
    <x:row r="321">
      <x:c r="A321" s="11" t="str">
        <x:v>2024-07</x:v>
      </x:c>
      <x:c r="B321" s="11" t="n">
        <x:v>20</x:v>
      </x:c>
      <x:c r="C321" s="11" t="str">
        <x:v>A Court of Thorns and Roses</x:v>
      </x:c>
      <x:c r="D321" s="11" t="str">
        <x:v>Das Reich der sieben Höfe - Dornen und Rosen</x:v>
      </x:c>
      <x:c r="E321" s="11" t="str">
        <x:v>Sarah J. Maas</x:v>
      </x:c>
      <x:c r="F321" s="11" t="str">
        <x:v>Official #BookTok Top 20</x:v>
      </x:c>
      <x:c r="G321" s="11" t="str">
        <x:v>Media Control &amp; TikTok</x:v>
      </x:c>
      <x:c r="H321" s="11" t="n">
        <x:v>202407</x:v>
      </x:c>
      <x:c r="I321" s="11" t="str">
        <x:v>Complete</x:v>
      </x:c>
      <x:c r="J321" s="11" t="str">
        <x:v>Yes</x:v>
      </x:c>
    </x:row>
    <x:row r="322">
      <x:c r="A322" s="11" t="str">
        <x:v>2024-08</x:v>
      </x:c>
      <x:c r="B322" s="11" t="n">
        <x:v>1</x:v>
      </x:c>
      <x:c r="C322" s="11" t="str">
        <x:v>Nur noch ein einziges Mal</x:v>
      </x:c>
      <x:c r="D322" s="11" t="str">
        <x:v>Nur noch ein einziges Mal</x:v>
      </x:c>
      <x:c r="E322" s="11" t="str">
        <x:v>Colleen Hoover</x:v>
      </x:c>
      <x:c r="F322" s="11" t="str">
        <x:v>Official #BookTok Top 20</x:v>
      </x:c>
      <x:c r="G322" s="11" t="str">
        <x:v>Media Control &amp; TikTok</x:v>
      </x:c>
      <x:c r="H322" s="11" t="n">
        <x:v>202408</x:v>
      </x:c>
      <x:c r="I322" s="11" t="str">
        <x:v>Complete</x:v>
      </x:c>
      <x:c r="J322" s="11" t="str">
        <x:v>Yes</x:v>
      </x:c>
    </x:row>
    <x:row r="323">
      <x:c r="A323" s="11" t="str">
        <x:v>2024-08</x:v>
      </x:c>
      <x:c r="B323" s="11" t="n">
        <x:v>2</x:v>
      </x:c>
      <x:c r="C323" s="11" t="str">
        <x:v>Powerless - Das Spiel</x:v>
      </x:c>
      <x:c r="D323" s="11" t="str">
        <x:v>Powerless - Das Spiel</x:v>
      </x:c>
      <x:c r="E323" s="11" t="str">
        <x:v>Lauren Roberts</x:v>
      </x:c>
      <x:c r="F323" s="11" t="str">
        <x:v>Official #BookTok Top 20</x:v>
      </x:c>
      <x:c r="G323" s="11" t="str">
        <x:v>Media Control &amp; TikTok</x:v>
      </x:c>
      <x:c r="H323" s="11" t="n">
        <x:v>202408</x:v>
      </x:c>
      <x:c r="I323" s="11" t="str">
        <x:v>Complete</x:v>
      </x:c>
      <x:c r="J323" s="11" t="str">
        <x:v>Yes</x:v>
      </x:c>
    </x:row>
    <x:row r="324">
      <x:c r="A324" s="11" t="str">
        <x:v>2024-08</x:v>
      </x:c>
      <x:c r="B324" s="11" t="n">
        <x:v>3</x:v>
      </x:c>
      <x:c r="C324" s="11" t="str">
        <x:v>A Good Girl's Guide to Murder</x:v>
      </x:c>
      <x:c r="D324" s="11" t="str">
        <x:v>A Good Girl's Guide to Murder</x:v>
      </x:c>
      <x:c r="E324" s="11" t="str">
        <x:v>Holly Jackson</x:v>
      </x:c>
      <x:c r="F324" s="11" t="str">
        <x:v>Official #BookTok Top 20</x:v>
      </x:c>
      <x:c r="G324" s="11" t="str">
        <x:v>Media Control &amp; TikTok</x:v>
      </x:c>
      <x:c r="H324" s="11" t="n">
        <x:v>202408</x:v>
      </x:c>
      <x:c r="I324" s="11" t="str">
        <x:v>Complete</x:v>
      </x:c>
      <x:c r="J324" s="11" t="str">
        <x:v>Yes</x:v>
      </x:c>
    </x:row>
    <x:row r="325">
      <x:c r="A325" s="11" t="str">
        <x:v>2024-08</x:v>
      </x:c>
      <x:c r="B325" s="11" t="n">
        <x:v>4</x:v>
      </x:c>
      <x:c r="C325" s="11" t="str">
        <x:v>This could be love</x:v>
      </x:c>
      <x:c r="D325" s="11" t="str">
        <x:v>This could be love</x:v>
      </x:c>
      <x:c r="E325" s="11" t="str">
        <x:v>Lilly Lucas</x:v>
      </x:c>
      <x:c r="F325" s="11" t="str">
        <x:v>Official #BookTok Top 20</x:v>
      </x:c>
      <x:c r="G325" s="11" t="str">
        <x:v>Media Control &amp; TikTok</x:v>
      </x:c>
      <x:c r="H325" s="11" t="n">
        <x:v>202408</x:v>
      </x:c>
      <x:c r="I325" s="11" t="str">
        <x:v>Complete</x:v>
      </x:c>
      <x:c r="J325" s="11" t="str">
        <x:v>Yes</x:v>
      </x:c>
    </x:row>
    <x:row r="326">
      <x:c r="A326" s="11" t="str">
        <x:v>2024-08</x:v>
      </x:c>
      <x:c r="B326" s="11" t="n">
        <x:v>5</x:v>
      </x:c>
      <x:c r="C326" s="11" t="str">
        <x:v>Icebreaker</x:v>
      </x:c>
      <x:c r="D326" s="11" t="str">
        <x:v>Icebreaker</x:v>
      </x:c>
      <x:c r="E326" s="11" t="str">
        <x:v>Hannah Grace</x:v>
      </x:c>
      <x:c r="F326" s="11" t="str">
        <x:v>Official #BookTok Top 20</x:v>
      </x:c>
      <x:c r="G326" s="11" t="str">
        <x:v>Media Control &amp; TikTok</x:v>
      </x:c>
      <x:c r="H326" s="11" t="n">
        <x:v>202408</x:v>
      </x:c>
      <x:c r="I326" s="11" t="str">
        <x:v>Complete</x:v>
      </x:c>
      <x:c r="J326" s="11" t="str">
        <x:v>Yes</x:v>
      </x:c>
    </x:row>
    <x:row r="327">
      <x:c r="A327" s="11" t="str">
        <x:v>2024-08</x:v>
      </x:c>
      <x:c r="B327" s="11" t="n">
        <x:v>6</x:v>
      </x:c>
      <x:c r="C327" s="11" t="str">
        <x:v>Verity</x:v>
      </x:c>
      <x:c r="D327" s="11" t="str">
        <x:v>Verity</x:v>
      </x:c>
      <x:c r="E327" s="11" t="str">
        <x:v>Colleen Hoover</x:v>
      </x:c>
      <x:c r="F327" s="11" t="str">
        <x:v>Official #BookTok Top 20</x:v>
      </x:c>
      <x:c r="G327" s="11" t="str">
        <x:v>Media Control &amp; TikTok</x:v>
      </x:c>
      <x:c r="H327" s="11" t="n">
        <x:v>202408</x:v>
      </x:c>
      <x:c r="I327" s="11" t="str">
        <x:v>Complete</x:v>
      </x:c>
      <x:c r="J327" s="11" t="str">
        <x:v>Yes</x:v>
      </x:c>
    </x:row>
    <x:row r="328">
      <x:c r="A328" s="11" t="str">
        <x:v>2024-08</x:v>
      </x:c>
      <x:c r="B328" s="11" t="n">
        <x:v>7</x:v>
      </x:c>
      <x:c r="C328" s="11" t="str">
        <x:v>Haunting Adeline 01</x:v>
      </x:c>
      <x:c r="D328" s="11" t="str">
        <x:v>Haunting Adeline 01</x:v>
      </x:c>
      <x:c r="E328" s="11" t="str">
        <x:v>H. D. Carlton</x:v>
      </x:c>
      <x:c r="F328" s="11" t="str">
        <x:v>Official #BookTok Top 20</x:v>
      </x:c>
      <x:c r="G328" s="11" t="str">
        <x:v>Media Control &amp; TikTok</x:v>
      </x:c>
      <x:c r="H328" s="11" t="n">
        <x:v>202408</x:v>
      </x:c>
      <x:c r="I328" s="11" t="str">
        <x:v>Complete</x:v>
      </x:c>
      <x:c r="J328" s="11" t="str">
        <x:v>Yes</x:v>
      </x:c>
    </x:row>
    <x:row r="329">
      <x:c r="A329" s="11" t="str">
        <x:v>2024-08</x:v>
      </x:c>
      <x:c r="B329" s="11" t="n">
        <x:v>8</x:v>
      </x:c>
      <x:c r="C329" s="11" t="str">
        <x:v>Mile High</x:v>
      </x:c>
      <x:c r="D329" s="11" t="str">
        <x:v>Mile High</x:v>
      </x:c>
      <x:c r="E329" s="11" t="str">
        <x:v>Liz Tomforde</x:v>
      </x:c>
      <x:c r="F329" s="11" t="str">
        <x:v>Official #BookTok Top 20</x:v>
      </x:c>
      <x:c r="G329" s="11" t="str">
        <x:v>Media Control &amp; TikTok</x:v>
      </x:c>
      <x:c r="H329" s="11" t="n">
        <x:v>202408</x:v>
      </x:c>
      <x:c r="I329" s="11" t="str">
        <x:v>Complete</x:v>
      </x:c>
      <x:c r="J329" s="11" t="str">
        <x:v>Yes</x:v>
      </x:c>
    </x:row>
    <x:row r="330">
      <x:c r="A330" s="11" t="str">
        <x:v>2024-08</x:v>
      </x:c>
      <x:c r="B330" s="11" t="n">
        <x:v>9</x:v>
      </x:c>
      <x:c r="C330" s="11" t="str">
        <x:v>Pupetta: Gute Mädchen gehorchen - Mit wunderschönem Farbschnitt</x:v>
      </x:c>
      <x:c r="D330" s="11" t="str">
        <x:v>Pupetta: Gute Mädchen gehorchen - Mit wunderschönem Farbschnitt</x:v>
      </x:c>
      <x:c r="E330" s="11" t="str">
        <x:v>Isabelle Herzog</x:v>
      </x:c>
      <x:c r="F330" s="11" t="str">
        <x:v>Official #BookTok Top 20</x:v>
      </x:c>
      <x:c r="G330" s="11" t="str">
        <x:v>Media Control &amp; TikTok</x:v>
      </x:c>
      <x:c r="H330" s="11" t="n">
        <x:v>202408</x:v>
      </x:c>
      <x:c r="I330" s="11" t="str">
        <x:v>Complete</x:v>
      </x:c>
      <x:c r="J330" s="11" t="str">
        <x:v>Yes</x:v>
      </x:c>
    </x:row>
    <x:row r="331">
      <x:c r="A331" s="11" t="str">
        <x:v>2024-08</x:v>
      </x:c>
      <x:c r="B331" s="11" t="n">
        <x:v>10</x:v>
      </x:c>
      <x:c r="C331" s="11" t="str">
        <x:v>Culpa Tuya - Deine Schuld</x:v>
      </x:c>
      <x:c r="D331" s="11" t="str">
        <x:v>Culpa Tuya - Deine Schuld</x:v>
      </x:c>
      <x:c r="E331" s="11" t="str">
        <x:v>Mercedes Ron</x:v>
      </x:c>
      <x:c r="F331" s="11" t="str">
        <x:v>Official #BookTok Top 20</x:v>
      </x:c>
      <x:c r="G331" s="11" t="str">
        <x:v>Media Control &amp; TikTok</x:v>
      </x:c>
      <x:c r="H331" s="11" t="n">
        <x:v>202408</x:v>
      </x:c>
      <x:c r="I331" s="11" t="str">
        <x:v>Complete</x:v>
      </x:c>
      <x:c r="J331" s="11" t="str">
        <x:v>Yes</x:v>
      </x:c>
    </x:row>
    <x:row r="332">
      <x:c r="A332" s="11" t="str">
        <x:v>2024-08</x:v>
      </x:c>
      <x:c r="B332" s="11" t="n">
        <x:v>11</x:v>
      </x:c>
      <x:c r="C332" s="11" t="str">
        <x:v>Boys of Tommen 2: Keeping 13</x:v>
      </x:c>
      <x:c r="D332" s="11" t="str">
        <x:v>Boys of Tommen 2: Keeping 13</x:v>
      </x:c>
      <x:c r="E332" s="11" t="str">
        <x:v>Chloe Walsh</x:v>
      </x:c>
      <x:c r="F332" s="11" t="str">
        <x:v>Official #BookTok Top 20</x:v>
      </x:c>
      <x:c r="G332" s="11" t="str">
        <x:v>Media Control &amp; TikTok</x:v>
      </x:c>
      <x:c r="H332" s="11" t="n">
        <x:v>202408</x:v>
      </x:c>
      <x:c r="I332" s="11" t="str">
        <x:v>Complete</x:v>
      </x:c>
      <x:c r="J332" s="11" t="str">
        <x:v>Yes</x:v>
      </x:c>
    </x:row>
    <x:row r="333">
      <x:c r="A333" s="11" t="str">
        <x:v>2024-08</x:v>
      </x:c>
      <x:c r="B333" s="11" t="n">
        <x:v>12</x:v>
      </x:c>
      <x:c r="C333" s="11" t="str">
        <x:v>Culpa Mía - Meine Schuld</x:v>
      </x:c>
      <x:c r="D333" s="11" t="str">
        <x:v>Culpa Mía - Meine Schuld</x:v>
      </x:c>
      <x:c r="E333" s="11" t="str">
        <x:v>Mercedes Ron</x:v>
      </x:c>
      <x:c r="F333" s="11" t="str">
        <x:v>Official #BookTok Top 20</x:v>
      </x:c>
      <x:c r="G333" s="11" t="str">
        <x:v>Media Control &amp; TikTok</x:v>
      </x:c>
      <x:c r="H333" s="11" t="n">
        <x:v>202408</x:v>
      </x:c>
      <x:c r="I333" s="11" t="str">
        <x:v>Complete</x:v>
      </x:c>
      <x:c r="J333" s="11" t="str">
        <x:v>Yes</x:v>
      </x:c>
    </x:row>
    <x:row r="334">
      <x:c r="A334" s="11" t="str">
        <x:v>2024-08</x:v>
      </x:c>
      <x:c r="B334" s="11" t="n">
        <x:v>13</x:v>
      </x:c>
      <x:c r="C334" s="11" t="str">
        <x:v>Fourth Wing - Flammengeküsst</x:v>
      </x:c>
      <x:c r="D334" s="11" t="str">
        <x:v>Fourth Wing - Flammengeküsst</x:v>
      </x:c>
      <x:c r="E334" s="11" t="str">
        <x:v>Rebecca Yarros</x:v>
      </x:c>
      <x:c r="F334" s="11" t="str">
        <x:v>Official #BookTok Top 20</x:v>
      </x:c>
      <x:c r="G334" s="11" t="str">
        <x:v>Media Control &amp; TikTok</x:v>
      </x:c>
      <x:c r="H334" s="11" t="n">
        <x:v>202408</x:v>
      </x:c>
      <x:c r="I334" s="11" t="str">
        <x:v>Complete</x:v>
      </x:c>
      <x:c r="J334" s="11" t="str">
        <x:v>Yes</x:v>
      </x:c>
    </x:row>
    <x:row r="335">
      <x:c r="A335" s="11" t="str">
        <x:v>2024-08</x:v>
      </x:c>
      <x:c r="B335" s="11" t="n">
        <x:v>14</x:v>
      </x:c>
      <x:c r="C335" s="11" t="str">
        <x:v>Pretty Scandalous - Heißer als Rache</x:v>
      </x:c>
      <x:c r="D335" s="11" t="str">
        <x:v>Pretty Scandalous - Heißer als Rache</x:v>
      </x:c>
      <x:c r="E335" s="11" t="str">
        <x:v>Tami Fischer</x:v>
      </x:c>
      <x:c r="F335" s="11" t="str">
        <x:v>Official #BookTok Top 20</x:v>
      </x:c>
      <x:c r="G335" s="11" t="str">
        <x:v>Media Control &amp; TikTok</x:v>
      </x:c>
      <x:c r="H335" s="11" t="n">
        <x:v>202408</x:v>
      </x:c>
      <x:c r="I335" s="11" t="str">
        <x:v>Complete</x:v>
      </x:c>
      <x:c r="J335" s="11" t="str">
        <x:v>Yes</x:v>
      </x:c>
    </x:row>
    <x:row r="336">
      <x:c r="A336" s="11" t="str">
        <x:v>2024-08</x:v>
      </x:c>
      <x:c r="B336" s="11" t="n">
        <x:v>15</x:v>
      </x:c>
      <x:c r="C336" s="11" t="str">
        <x:v>Corrupt - Dunkle Versuchung</x:v>
      </x:c>
      <x:c r="D336" s="11" t="str">
        <x:v>Corrupt - Dunkle Versuchung</x:v>
      </x:c>
      <x:c r="E336" s="11" t="str">
        <x:v>Penelope Douglas</x:v>
      </x:c>
      <x:c r="F336" s="11" t="str">
        <x:v>Official #BookTok Top 20</x:v>
      </x:c>
      <x:c r="G336" s="11" t="str">
        <x:v>Media Control &amp; TikTok</x:v>
      </x:c>
      <x:c r="H336" s="11" t="n">
        <x:v>202408</x:v>
      </x:c>
      <x:c r="I336" s="11" t="str">
        <x:v>Complete</x:v>
      </x:c>
      <x:c r="J336" s="11" t="str">
        <x:v>Yes</x:v>
      </x:c>
    </x:row>
    <x:row r="337">
      <x:c r="A337" s="11" t="str">
        <x:v>2024-08</x:v>
      </x:c>
      <x:c r="B337" s="11" t="n">
        <x:v>16</x:v>
      </x:c>
      <x:c r="C337" s="11" t="str">
        <x:v>Twisted Games</x:v>
      </x:c>
      <x:c r="D337" s="11" t="str">
        <x:v>Twisted Games</x:v>
      </x:c>
      <x:c r="E337" s="11" t="str">
        <x:v>Ana Huang</x:v>
      </x:c>
      <x:c r="F337" s="11" t="str">
        <x:v>Official #BookTok Top 20</x:v>
      </x:c>
      <x:c r="G337" s="11" t="str">
        <x:v>Media Control &amp; TikTok</x:v>
      </x:c>
      <x:c r="H337" s="11" t="n">
        <x:v>202408</x:v>
      </x:c>
      <x:c r="I337" s="11" t="str">
        <x:v>Complete</x:v>
      </x:c>
      <x:c r="J337" s="11" t="str">
        <x:v>Yes</x:v>
      </x:c>
    </x:row>
    <x:row r="338">
      <x:c r="A338" s="11" t="str">
        <x:v>2024-08</x:v>
      </x:c>
      <x:c r="B338" s="11" t="n">
        <x:v>17</x:v>
      </x:c>
      <x:c r="C338" s="11" t="str">
        <x:v>Iron Flame - Flammengeküsst</x:v>
      </x:c>
      <x:c r="D338" s="11" t="str">
        <x:v>Iron Flame - Flammengeküsst</x:v>
      </x:c>
      <x:c r="E338" s="11" t="str">
        <x:v>Rebecca Yarros</x:v>
      </x:c>
      <x:c r="F338" s="11" t="str">
        <x:v>Official #BookTok Top 20</x:v>
      </x:c>
      <x:c r="G338" s="11" t="str">
        <x:v>Media Control &amp; TikTok</x:v>
      </x:c>
      <x:c r="H338" s="11" t="n">
        <x:v>202408</x:v>
      </x:c>
      <x:c r="I338" s="11" t="str">
        <x:v>Complete</x:v>
      </x:c>
      <x:c r="J338" s="11" t="str">
        <x:v>Yes</x:v>
      </x:c>
    </x:row>
    <x:row r="339">
      <x:c r="A339" s="11" t="str">
        <x:v>2024-08</x:v>
      </x:c>
      <x:c r="B339" s="11" t="n">
        <x:v>18</x:v>
      </x:c>
      <x:c r="C339" s="11" t="str">
        <x:v>Reckless</x:v>
      </x:c>
      <x:c r="D339" s="11" t="str">
        <x:v>Reckless</x:v>
      </x:c>
      <x:c r="E339" s="11" t="str">
        <x:v>Lauren Roberts</x:v>
      </x:c>
      <x:c r="F339" s="11" t="str">
        <x:v>Official #BookTok Top 20</x:v>
      </x:c>
      <x:c r="G339" s="11" t="str">
        <x:v>Media Control &amp; TikTok</x:v>
      </x:c>
      <x:c r="H339" s="11" t="n">
        <x:v>202408</x:v>
      </x:c>
      <x:c r="I339" s="11" t="str">
        <x:v>Complete</x:v>
      </x:c>
      <x:c r="J339" s="11" t="str">
        <x:v>Yes</x:v>
      </x:c>
    </x:row>
    <x:row r="340">
      <x:c r="A340" s="11" t="str">
        <x:v>2024-08</x:v>
      </x:c>
      <x:c r="B340" s="11" t="n">
        <x:v>19</x:v>
      </x:c>
      <x:c r="C340" s="11" t="str">
        <x:v>Twisted Hate</x:v>
      </x:c>
      <x:c r="D340" s="11" t="str">
        <x:v>Twisted Hate</x:v>
      </x:c>
      <x:c r="E340" s="11" t="str">
        <x:v>Ana Huang</x:v>
      </x:c>
      <x:c r="F340" s="11" t="str">
        <x:v>Official #BookTok Top 20</x:v>
      </x:c>
      <x:c r="G340" s="11" t="str">
        <x:v>Media Control &amp; TikTok</x:v>
      </x:c>
      <x:c r="H340" s="11" t="n">
        <x:v>202408</x:v>
      </x:c>
      <x:c r="I340" s="11" t="str">
        <x:v>Complete</x:v>
      </x:c>
      <x:c r="J340" s="11" t="str">
        <x:v>Yes</x:v>
      </x:c>
    </x:row>
    <x:row r="341">
      <x:c r="A341" s="11" t="str">
        <x:v>2024-08</x:v>
      </x:c>
      <x:c r="B341" s="11" t="n">
        <x:v>20</x:v>
      </x:c>
      <x:c r="C341" s="11" t="str">
        <x:v>The Big Five for Life</x:v>
      </x:c>
      <x:c r="D341" s="11" t="str">
        <x:v>The Big Five for Life</x:v>
      </x:c>
      <x:c r="E341" s="11" t="str">
        <x:v>John Strelecky</x:v>
      </x:c>
      <x:c r="F341" s="11" t="str">
        <x:v>Official #BookTok Top 20</x:v>
      </x:c>
      <x:c r="G341" s="11" t="str">
        <x:v>Media Control &amp; TikTok</x:v>
      </x:c>
      <x:c r="H341" s="11" t="n">
        <x:v>202408</x:v>
      </x:c>
      <x:c r="I341" s="11" t="str">
        <x:v>Complete</x:v>
      </x:c>
      <x:c r="J341" s="11" t="str">
        <x:v>Yes</x:v>
      </x:c>
    </x:row>
    <x:row r="342">
      <x:c r="A342" s="11" t="str">
        <x:v>2024-09</x:v>
      </x:c>
      <x:c r="B342" s="11" t="n">
        <x:v>1</x:v>
      </x:c>
      <x:c r="C342" s="11" t="str">
        <x:v>Nur noch ein einziges Mal</x:v>
      </x:c>
      <x:c r="D342" s="11" t="str">
        <x:v>Nur noch ein einziges Mal</x:v>
      </x:c>
      <x:c r="E342" s="11" t="str">
        <x:v>Colleen Hoover</x:v>
      </x:c>
      <x:c r="F342" s="11" t="str">
        <x:v>Official #BookTok Top 20</x:v>
      </x:c>
      <x:c r="G342" s="11" t="str">
        <x:v>Media Control &amp; TikTok</x:v>
      </x:c>
      <x:c r="H342" s="11" t="n">
        <x:v>202409</x:v>
      </x:c>
      <x:c r="I342" s="11" t="str">
        <x:v>Complete</x:v>
      </x:c>
      <x:c r="J342" s="11" t="str">
        <x:v>Yes</x:v>
      </x:c>
    </x:row>
    <x:row r="343">
      <x:c r="A343" s="11" t="str">
        <x:v>2024-09</x:v>
      </x:c>
      <x:c r="B343" s="11" t="n">
        <x:v>2</x:v>
      </x:c>
      <x:c r="C343" s="11" t="str">
        <x:v>Icebreaker</x:v>
      </x:c>
      <x:c r="D343" s="11" t="str">
        <x:v>Icebreaker</x:v>
      </x:c>
      <x:c r="E343" s="11" t="str">
        <x:v>Hannah Grace</x:v>
      </x:c>
      <x:c r="F343" s="11" t="str">
        <x:v>Official #BookTok Top 20</x:v>
      </x:c>
      <x:c r="G343" s="11" t="str">
        <x:v>Media Control &amp; TikTok</x:v>
      </x:c>
      <x:c r="H343" s="11" t="n">
        <x:v>202409</x:v>
      </x:c>
      <x:c r="I343" s="11" t="str">
        <x:v>Complete</x:v>
      </x:c>
      <x:c r="J343" s="11" t="str">
        <x:v>Yes</x:v>
      </x:c>
    </x:row>
    <x:row r="344">
      <x:c r="A344" s="11" t="str">
        <x:v>2024-09</x:v>
      </x:c>
      <x:c r="B344" s="11" t="n">
        <x:v>3</x:v>
      </x:c>
      <x:c r="C344" s="11" t="str">
        <x:v>Powerless - Das Spiel</x:v>
      </x:c>
      <x:c r="D344" s="11" t="str">
        <x:v>Powerless - Das Spiel</x:v>
      </x:c>
      <x:c r="E344" s="11" t="str">
        <x:v>Lauren Roberts</x:v>
      </x:c>
      <x:c r="F344" s="11" t="str">
        <x:v>Official #BookTok Top 20</x:v>
      </x:c>
      <x:c r="G344" s="11" t="str">
        <x:v>Media Control &amp; TikTok</x:v>
      </x:c>
      <x:c r="H344" s="11" t="n">
        <x:v>202409</x:v>
      </x:c>
      <x:c r="I344" s="11" t="str">
        <x:v>Complete</x:v>
      </x:c>
      <x:c r="J344" s="11" t="str">
        <x:v>Yes</x:v>
      </x:c>
    </x:row>
    <x:row r="345">
      <x:c r="A345" s="11" t="str">
        <x:v>2024-09</x:v>
      </x:c>
      <x:c r="B345" s="11" t="n">
        <x:v>4</x:v>
      </x:c>
      <x:c r="C345" s="11" t="str">
        <x:v>Haunting Adeline 01</x:v>
      </x:c>
      <x:c r="D345" s="11" t="str">
        <x:v>Haunting Adeline 01</x:v>
      </x:c>
      <x:c r="E345" s="11" t="str">
        <x:v>H. D. Carlton</x:v>
      </x:c>
      <x:c r="F345" s="11" t="str">
        <x:v>Official #BookTok Top 20</x:v>
      </x:c>
      <x:c r="G345" s="11" t="str">
        <x:v>Media Control &amp; TikTok</x:v>
      </x:c>
      <x:c r="H345" s="11" t="n">
        <x:v>202409</x:v>
      </x:c>
      <x:c r="I345" s="11" t="str">
        <x:v>Complete</x:v>
      </x:c>
      <x:c r="J345" s="11" t="str">
        <x:v>Yes</x:v>
      </x:c>
    </x:row>
    <x:row r="346">
      <x:c r="A346" s="11" t="str">
        <x:v>2024-09</x:v>
      </x:c>
      <x:c r="B346" s="11" t="n">
        <x:v>5</x:v>
      </x:c>
      <x:c r="C346" s="11" t="str">
        <x:v>Verity</x:v>
      </x:c>
      <x:c r="D346" s="11" t="str">
        <x:v>Verity</x:v>
      </x:c>
      <x:c r="E346" s="11" t="str">
        <x:v>Colleen Hoover</x:v>
      </x:c>
      <x:c r="F346" s="11" t="str">
        <x:v>Official #BookTok Top 20</x:v>
      </x:c>
      <x:c r="G346" s="11" t="str">
        <x:v>Media Control &amp; TikTok</x:v>
      </x:c>
      <x:c r="H346" s="11" t="n">
        <x:v>202409</x:v>
      </x:c>
      <x:c r="I346" s="11" t="str">
        <x:v>Complete</x:v>
      </x:c>
      <x:c r="J346" s="11" t="str">
        <x:v>Yes</x:v>
      </x:c>
    </x:row>
    <x:row r="347">
      <x:c r="A347" s="11" t="str">
        <x:v>2024-09</x:v>
      </x:c>
      <x:c r="B347" s="11" t="n">
        <x:v>6</x:v>
      </x:c>
      <x:c r="C347" s="11" t="str">
        <x:v>Hunting Adeline 02</x:v>
      </x:c>
      <x:c r="D347" s="11" t="str">
        <x:v>Hunting Adeline 02</x:v>
      </x:c>
      <x:c r="E347" s="11" t="str">
        <x:v>H. D. Carlton</x:v>
      </x:c>
      <x:c r="F347" s="11" t="str">
        <x:v>Official #BookTok Top 20</x:v>
      </x:c>
      <x:c r="G347" s="11" t="str">
        <x:v>Media Control &amp; TikTok</x:v>
      </x:c>
      <x:c r="H347" s="11" t="n">
        <x:v>202409</x:v>
      </x:c>
      <x:c r="I347" s="11" t="str">
        <x:v>Complete</x:v>
      </x:c>
      <x:c r="J347" s="11" t="str">
        <x:v>Yes</x:v>
      </x:c>
    </x:row>
    <x:row r="348">
      <x:c r="A348" s="11" t="str">
        <x:v>2024-09</x:v>
      </x:c>
      <x:c r="B348" s="11" t="n">
        <x:v>7</x:v>
      </x:c>
      <x:c r="C348" s="11" t="str">
        <x:v>Save Me</x:v>
      </x:c>
      <x:c r="D348" s="11" t="str">
        <x:v>Save Me</x:v>
      </x:c>
      <x:c r="E348" s="11" t="str">
        <x:v>Mona Kasten</x:v>
      </x:c>
      <x:c r="F348" s="11" t="str">
        <x:v>Official #BookTok Top 20</x:v>
      </x:c>
      <x:c r="G348" s="11" t="str">
        <x:v>Media Control &amp; TikTok</x:v>
      </x:c>
      <x:c r="H348" s="11" t="n">
        <x:v>202409</x:v>
      </x:c>
      <x:c r="I348" s="11" t="str">
        <x:v>Complete</x:v>
      </x:c>
      <x:c r="J348" s="11" t="str">
        <x:v>Yes</x:v>
      </x:c>
    </x:row>
    <x:row r="349">
      <x:c r="A349" s="11" t="str">
        <x:v>2024-09</x:v>
      </x:c>
      <x:c r="B349" s="11" t="n">
        <x:v>8</x:v>
      </x:c>
      <x:c r="C349" s="11" t="str">
        <x:v>A Good Girl's Guide to Murder</x:v>
      </x:c>
      <x:c r="D349" s="11" t="str">
        <x:v>A Good Girl's Guide to Murder</x:v>
      </x:c>
      <x:c r="E349" s="11" t="str">
        <x:v>Holly Jackson</x:v>
      </x:c>
      <x:c r="F349" s="11" t="str">
        <x:v>Official #BookTok Top 20</x:v>
      </x:c>
      <x:c r="G349" s="11" t="str">
        <x:v>Media Control &amp; TikTok</x:v>
      </x:c>
      <x:c r="H349" s="11" t="n">
        <x:v>202409</x:v>
      </x:c>
      <x:c r="I349" s="11" t="str">
        <x:v>Complete</x:v>
      </x:c>
      <x:c r="J349" s="11" t="str">
        <x:v>Yes</x:v>
      </x:c>
    </x:row>
    <x:row r="350">
      <x:c r="A350" s="11" t="str">
        <x:v>2024-09</x:v>
      </x:c>
      <x:c r="B350" s="11" t="n">
        <x:v>9</x:v>
      </x:c>
      <x:c r="C350" s="11" t="str">
        <x:v>Die Insel der Tausend Leuchttürme</x:v>
      </x:c>
      <x:c r="D350" s="11" t="str">
        <x:v>Die Insel der Tausend Leuchttürme</x:v>
      </x:c>
      <x:c r="E350" s="11" t="str">
        <x:v>Walter Moers</x:v>
      </x:c>
      <x:c r="F350" s="11" t="str">
        <x:v>Official #BookTok Top 20</x:v>
      </x:c>
      <x:c r="G350" s="11" t="str">
        <x:v>Media Control &amp; TikTok</x:v>
      </x:c>
      <x:c r="H350" s="11" t="n">
        <x:v>202409</x:v>
      </x:c>
      <x:c r="I350" s="11" t="str">
        <x:v>Complete</x:v>
      </x:c>
      <x:c r="J350" s="11" t="str">
        <x:v>Yes</x:v>
      </x:c>
    </x:row>
    <x:row r="351">
      <x:c r="A351" s="11" t="str">
        <x:v>2024-09</x:v>
      </x:c>
      <x:c r="B351" s="11" t="n">
        <x:v>10</x:v>
      </x:c>
      <x:c r="C351" s="11" t="str">
        <x:v>Boys of Tommen 2: Keeping 13</x:v>
      </x:c>
      <x:c r="D351" s="11" t="str">
        <x:v>Boys of Tommen 2: Keeping 13</x:v>
      </x:c>
      <x:c r="E351" s="11" t="str">
        <x:v>Chloe Walsh</x:v>
      </x:c>
      <x:c r="F351" s="11" t="str">
        <x:v>Official #BookTok Top 20</x:v>
      </x:c>
      <x:c r="G351" s="11" t="str">
        <x:v>Media Control &amp; TikTok</x:v>
      </x:c>
      <x:c r="H351" s="11" t="n">
        <x:v>202409</x:v>
      </x:c>
      <x:c r="I351" s="11" t="str">
        <x:v>Complete</x:v>
      </x:c>
      <x:c r="J351" s="11" t="str">
        <x:v>Yes</x:v>
      </x:c>
    </x:row>
    <x:row r="352">
      <x:c r="A352" s="11" t="str">
        <x:v>2024-09</x:v>
      </x:c>
      <x:c r="B352" s="11" t="n">
        <x:v>11</x:v>
      </x:c>
      <x:c r="C352" s="11" t="str">
        <x:v>Mile High</x:v>
      </x:c>
      <x:c r="D352" s="11" t="str">
        <x:v>Mile High</x:v>
      </x:c>
      <x:c r="E352" s="11" t="str">
        <x:v>Liz Tomforde</x:v>
      </x:c>
      <x:c r="F352" s="11" t="str">
        <x:v>Official #BookTok Top 20</x:v>
      </x:c>
      <x:c r="G352" s="11" t="str">
        <x:v>Media Control &amp; TikTok</x:v>
      </x:c>
      <x:c r="H352" s="11" t="n">
        <x:v>202409</x:v>
      </x:c>
      <x:c r="I352" s="11" t="str">
        <x:v>Complete</x:v>
      </x:c>
      <x:c r="J352" s="11" t="str">
        <x:v>Yes</x:v>
      </x:c>
    </x:row>
    <x:row r="353">
      <x:c r="A353" s="11" t="str">
        <x:v>2024-09</x:v>
      </x:c>
      <x:c r="B353" s="11" t="n">
        <x:v>12</x:v>
      </x:c>
      <x:c r="C353" s="11" t="str">
        <x:v>Culpa Tuya - Deine Schuld</x:v>
      </x:c>
      <x:c r="D353" s="11" t="str">
        <x:v>Culpa Tuya - Deine Schuld</x:v>
      </x:c>
      <x:c r="E353" s="11" t="str">
        <x:v>Mercedes Ron</x:v>
      </x:c>
      <x:c r="F353" s="11" t="str">
        <x:v>Official #BookTok Top 20</x:v>
      </x:c>
      <x:c r="G353" s="11" t="str">
        <x:v>Media Control &amp; TikTok</x:v>
      </x:c>
      <x:c r="H353" s="11" t="n">
        <x:v>202409</x:v>
      </x:c>
      <x:c r="I353" s="11" t="str">
        <x:v>Complete</x:v>
      </x:c>
      <x:c r="J353" s="11" t="str">
        <x:v>Yes</x:v>
      </x:c>
    </x:row>
    <x:row r="354">
      <x:c r="A354" s="11" t="str">
        <x:v>2024-09</x:v>
      </x:c>
      <x:c r="B354" s="11" t="n">
        <x:v>13</x:v>
      </x:c>
      <x:c r="C354" s="11" t="str">
        <x:v>Corrupt - Dunkle Versuchung</x:v>
      </x:c>
      <x:c r="D354" s="11" t="str">
        <x:v>Corrupt - Dunkle Versuchung</x:v>
      </x:c>
      <x:c r="E354" s="11" t="str">
        <x:v>Penelope Douglas</x:v>
      </x:c>
      <x:c r="F354" s="11" t="str">
        <x:v>Official #BookTok Top 20</x:v>
      </x:c>
      <x:c r="G354" s="11" t="str">
        <x:v>Media Control &amp; TikTok</x:v>
      </x:c>
      <x:c r="H354" s="11" t="n">
        <x:v>202409</x:v>
      </x:c>
      <x:c r="I354" s="11" t="str">
        <x:v>Complete</x:v>
      </x:c>
      <x:c r="J354" s="11" t="str">
        <x:v>Yes</x:v>
      </x:c>
    </x:row>
    <x:row r="355">
      <x:c r="A355" s="11" t="str">
        <x:v>2024-09</x:v>
      </x:c>
      <x:c r="B355" s="11" t="n">
        <x:v>14</x:v>
      </x:c>
      <x:c r="C355" s="11" t="str">
        <x:v>Iron Flame - Flammengeküsst</x:v>
      </x:c>
      <x:c r="D355" s="11" t="str">
        <x:v>Iron Flame - Flammengeküsst</x:v>
      </x:c>
      <x:c r="E355" s="11" t="str">
        <x:v>Rebecca Yarros</x:v>
      </x:c>
      <x:c r="F355" s="11" t="str">
        <x:v>Official #BookTok Top 20</x:v>
      </x:c>
      <x:c r="G355" s="11" t="str">
        <x:v>Media Control &amp; TikTok</x:v>
      </x:c>
      <x:c r="H355" s="11" t="n">
        <x:v>202409</x:v>
      </x:c>
      <x:c r="I355" s="11" t="str">
        <x:v>Complete</x:v>
      </x:c>
      <x:c r="J355" s="11" t="str">
        <x:v>Yes</x:v>
      </x:c>
    </x:row>
    <x:row r="356">
      <x:c r="A356" s="11" t="str">
        <x:v>2024-09</x:v>
      </x:c>
      <x:c r="B356" s="11" t="n">
        <x:v>15</x:v>
      </x:c>
      <x:c r="C356" s="11" t="str">
        <x:v>Ein wenig Leben</x:v>
      </x:c>
      <x:c r="D356" s="11" t="str">
        <x:v>Ein wenig Leben</x:v>
      </x:c>
      <x:c r="E356" s="11" t="str">
        <x:v>Hanya Yanagihara</x:v>
      </x:c>
      <x:c r="F356" s="11" t="str">
        <x:v>Official #BookTok Top 20</x:v>
      </x:c>
      <x:c r="G356" s="11" t="str">
        <x:v>Media Control &amp; TikTok</x:v>
      </x:c>
      <x:c r="H356" s="11" t="n">
        <x:v>202409</x:v>
      </x:c>
      <x:c r="I356" s="11" t="str">
        <x:v>Complete</x:v>
      </x:c>
      <x:c r="J356" s="11" t="str">
        <x:v>Yes</x:v>
      </x:c>
    </x:row>
    <x:row r="357">
      <x:c r="A357" s="11" t="str">
        <x:v>2024-09</x:v>
      </x:c>
      <x:c r="B357" s="11" t="n">
        <x:v>16</x:v>
      </x:c>
      <x:c r="C357" s="11" t="str">
        <x:v>Culpa Mía - Meine Schuld</x:v>
      </x:c>
      <x:c r="D357" s="11" t="str">
        <x:v>Culpa Mía - Meine Schuld</x:v>
      </x:c>
      <x:c r="E357" s="11" t="str">
        <x:v>Mercedes Ron</x:v>
      </x:c>
      <x:c r="F357" s="11" t="str">
        <x:v>Official #BookTok Top 20</x:v>
      </x:c>
      <x:c r="G357" s="11" t="str">
        <x:v>Media Control &amp; TikTok</x:v>
      </x:c>
      <x:c r="H357" s="11" t="n">
        <x:v>202409</x:v>
      </x:c>
      <x:c r="I357" s="11" t="str">
        <x:v>Complete</x:v>
      </x:c>
      <x:c r="J357" s="11" t="str">
        <x:v>Yes</x:v>
      </x:c>
    </x:row>
    <x:row r="358">
      <x:c r="A358" s="11" t="str">
        <x:v>2024-09</x:v>
      </x:c>
      <x:c r="B358" s="11" t="n">
        <x:v>17</x:v>
      </x:c>
      <x:c r="C358" s="11" t="str">
        <x:v>Twisted Games</x:v>
      </x:c>
      <x:c r="D358" s="11" t="str">
        <x:v>Twisted Games</x:v>
      </x:c>
      <x:c r="E358" s="11" t="str">
        <x:v>Ana Huang</x:v>
      </x:c>
      <x:c r="F358" s="11" t="str">
        <x:v>Official #BookTok Top 20</x:v>
      </x:c>
      <x:c r="G358" s="11" t="str">
        <x:v>Media Control &amp; TikTok</x:v>
      </x:c>
      <x:c r="H358" s="11" t="n">
        <x:v>202409</x:v>
      </x:c>
      <x:c r="I358" s="11" t="str">
        <x:v>Complete</x:v>
      </x:c>
      <x:c r="J358" s="11" t="str">
        <x:v>Yes</x:v>
      </x:c>
    </x:row>
    <x:row r="359">
      <x:c r="A359" s="11" t="str">
        <x:v>2024-09</x:v>
      </x:c>
      <x:c r="B359" s="11" t="n">
        <x:v>18</x:v>
      </x:c>
      <x:c r="C359" s="11" t="str">
        <x:v>Alles, was ich geben kann - The Last Letter</x:v>
      </x:c>
      <x:c r="D359" s="11" t="str">
        <x:v>Alles, was ich geben kann - The Last Letter</x:v>
      </x:c>
      <x:c r="E359" s="11" t="str">
        <x:v>Rebecca Yarros</x:v>
      </x:c>
      <x:c r="F359" s="11" t="str">
        <x:v>Official #BookTok Top 20</x:v>
      </x:c>
      <x:c r="G359" s="11" t="str">
        <x:v>Media Control &amp; TikTok</x:v>
      </x:c>
      <x:c r="H359" s="11" t="n">
        <x:v>202409</x:v>
      </x:c>
      <x:c r="I359" s="11" t="str">
        <x:v>Complete</x:v>
      </x:c>
      <x:c r="J359" s="11" t="str">
        <x:v>Yes</x:v>
      </x:c>
    </x:row>
    <x:row r="360">
      <x:c r="A360" s="11" t="str">
        <x:v>2024-09</x:v>
      </x:c>
      <x:c r="B360" s="11" t="n">
        <x:v>19</x:v>
      </x:c>
      <x:c r="C360" s="11" t="str">
        <x:v>Pupetta: Gute Mädchen gehorchen - Mit wunderschönem Farbschnitt</x:v>
      </x:c>
      <x:c r="D360" s="11" t="str">
        <x:v>Pupetta: Gute Mädchen gehorchen - Mit wunderschönem Farbschnitt</x:v>
      </x:c>
      <x:c r="E360" s="11" t="str">
        <x:v>Isabelle Herzog</x:v>
      </x:c>
      <x:c r="F360" s="11" t="str">
        <x:v>Official #BookTok Top 20</x:v>
      </x:c>
      <x:c r="G360" s="11" t="str">
        <x:v>Media Control &amp; TikTok</x:v>
      </x:c>
      <x:c r="H360" s="11" t="n">
        <x:v>202409</x:v>
      </x:c>
      <x:c r="I360" s="11" t="str">
        <x:v>Complete</x:v>
      </x:c>
      <x:c r="J360" s="11" t="str">
        <x:v>Yes</x:v>
      </x:c>
    </x:row>
    <x:row r="361">
      <x:c r="A361" s="11" t="str">
        <x:v>2024-09</x:v>
      </x:c>
      <x:c r="B361" s="11" t="n">
        <x:v>20</x:v>
      </x:c>
      <x:c r="C361" s="11" t="str">
        <x:v>The Big Five for Life</x:v>
      </x:c>
      <x:c r="D361" s="11" t="str">
        <x:v>The Big Five for Life</x:v>
      </x:c>
      <x:c r="E361" s="11" t="str">
        <x:v>John Strelecky</x:v>
      </x:c>
      <x:c r="F361" s="11" t="str">
        <x:v>Official #BookTok Top 20</x:v>
      </x:c>
      <x:c r="G361" s="11" t="str">
        <x:v>Media Control &amp; TikTok</x:v>
      </x:c>
      <x:c r="H361" s="11" t="n">
        <x:v>202409</x:v>
      </x:c>
      <x:c r="I361" s="11" t="str">
        <x:v>Complete</x:v>
      </x:c>
      <x:c r="J361" s="11" t="str">
        <x:v>Yes</x:v>
      </x:c>
    </x:row>
    <x:row r="362">
      <x:c r="A362" s="11" t="str">
        <x:v>2024-10</x:v>
      </x:c>
      <x:c r="B362" s="11" t="n">
        <x:v>1</x:v>
      </x:c>
      <x:c r="C362" s="11" t="str">
        <x:v>Nur noch ein einziges Mal</x:v>
      </x:c>
      <x:c r="D362" s="11" t="str">
        <x:v>Nur noch ein einziges Mal</x:v>
      </x:c>
      <x:c r="E362" s="11" t="str">
        <x:v>Colleen Hoover</x:v>
      </x:c>
      <x:c r="F362" s="11" t="str">
        <x:v>Official #BookTok Top 20</x:v>
      </x:c>
      <x:c r="G362" s="11" t="str">
        <x:v>Media Control &amp; TikTok</x:v>
      </x:c>
      <x:c r="H362" s="11" t="n">
        <x:v>202410</x:v>
      </x:c>
      <x:c r="I362" s="11" t="str">
        <x:v>Complete</x:v>
      </x:c>
      <x:c r="J362" s="11" t="str">
        <x:v>Yes</x:v>
      </x:c>
    </x:row>
    <x:row r="363">
      <x:c r="A363" s="11" t="str">
        <x:v>2024-10</x:v>
      </x:c>
      <x:c r="B363" s="11" t="n">
        <x:v>2</x:v>
      </x:c>
      <x:c r="C363" s="11" t="str">
        <x:v>A Good Girl's Guide to Murder</x:v>
      </x:c>
      <x:c r="D363" s="11" t="str">
        <x:v>A Good Girl's Guide to Murder</x:v>
      </x:c>
      <x:c r="E363" s="11" t="str">
        <x:v>Holly Jackson</x:v>
      </x:c>
      <x:c r="F363" s="11" t="str">
        <x:v>Official #BookTok Top 20</x:v>
      </x:c>
      <x:c r="G363" s="11" t="str">
        <x:v>Media Control &amp; TikTok</x:v>
      </x:c>
      <x:c r="H363" s="11" t="n">
        <x:v>202410</x:v>
      </x:c>
      <x:c r="I363" s="11" t="str">
        <x:v>Complete</x:v>
      </x:c>
      <x:c r="J363" s="11" t="str">
        <x:v>Yes</x:v>
      </x:c>
    </x:row>
    <x:row r="364">
      <x:c r="A364" s="11" t="str">
        <x:v>2024-10</x:v>
      </x:c>
      <x:c r="B364" s="11" t="n">
        <x:v>3</x:v>
      </x:c>
      <x:c r="C364" s="11" t="str">
        <x:v>It starts with us - Nur noch einmal und für immer</x:v>
      </x:c>
      <x:c r="D364" s="11" t="str">
        <x:v>It starts with us - Nur noch einmal und für immer</x:v>
      </x:c>
      <x:c r="E364" s="11" t="str">
        <x:v>Colleen Hoover</x:v>
      </x:c>
      <x:c r="F364" s="11" t="str">
        <x:v>Official #BookTok Top 20</x:v>
      </x:c>
      <x:c r="G364" s="11" t="str">
        <x:v>Media Control &amp; TikTok</x:v>
      </x:c>
      <x:c r="H364" s="11" t="n">
        <x:v>202410</x:v>
      </x:c>
      <x:c r="I364" s="11" t="str">
        <x:v>Complete</x:v>
      </x:c>
      <x:c r="J364" s="11" t="str">
        <x:v>Yes</x:v>
      </x:c>
    </x:row>
    <x:row r="365">
      <x:c r="A365" s="11" t="str">
        <x:v>2024-10</x:v>
      </x:c>
      <x:c r="B365" s="11" t="n">
        <x:v>4</x:v>
      </x:c>
      <x:c r="C365" s="11" t="str">
        <x:v>Icebreaker</x:v>
      </x:c>
      <x:c r="D365" s="11" t="str">
        <x:v>Icebreaker</x:v>
      </x:c>
      <x:c r="E365" s="11" t="str">
        <x:v>Hannah Grace</x:v>
      </x:c>
      <x:c r="F365" s="11" t="str">
        <x:v>Official #BookTok Top 20</x:v>
      </x:c>
      <x:c r="G365" s="11" t="str">
        <x:v>Media Control &amp; TikTok</x:v>
      </x:c>
      <x:c r="H365" s="11" t="n">
        <x:v>202410</x:v>
      </x:c>
      <x:c r="I365" s="11" t="str">
        <x:v>Complete</x:v>
      </x:c>
      <x:c r="J365" s="11" t="str">
        <x:v>Yes</x:v>
      </x:c>
    </x:row>
    <x:row r="366">
      <x:c r="A366" s="11" t="str">
        <x:v>2024-10</x:v>
      </x:c>
      <x:c r="B366" s="11" t="n">
        <x:v>5</x:v>
      </x:c>
      <x:c r="C366" s="11" t="str">
        <x:v>Boys of Tommen 3: Saving 6</x:v>
      </x:c>
      <x:c r="D366" s="11" t="str">
        <x:v>Boys of Tommen 3: Saving 6</x:v>
      </x:c>
      <x:c r="E366" s="11" t="str">
        <x:v>Chloe Walsh</x:v>
      </x:c>
      <x:c r="F366" s="11" t="str">
        <x:v>Official #BookTok Top 20</x:v>
      </x:c>
      <x:c r="G366" s="11" t="str">
        <x:v>Media Control &amp; TikTok</x:v>
      </x:c>
      <x:c r="H366" s="11" t="n">
        <x:v>202410</x:v>
      </x:c>
      <x:c r="I366" s="11" t="str">
        <x:v>Complete</x:v>
      </x:c>
      <x:c r="J366" s="11" t="str">
        <x:v>Yes</x:v>
      </x:c>
    </x:row>
    <x:row r="367">
      <x:c r="A367" s="11" t="str">
        <x:v>2024-10</x:v>
      </x:c>
      <x:c r="B367" s="11" t="n">
        <x:v>6</x:v>
      </x:c>
      <x:c r="C367" s="11" t="str">
        <x:v>Nur noch wenige Tage</x:v>
      </x:c>
      <x:c r="D367" s="11" t="str">
        <x:v>Nur noch wenige Tage</x:v>
      </x:c>
      <x:c r="E367" s="11" t="str">
        <x:v>Colleen Hoover</x:v>
      </x:c>
      <x:c r="F367" s="11" t="str">
        <x:v>Official #BookTok Top 20</x:v>
      </x:c>
      <x:c r="G367" s="11" t="str">
        <x:v>Media Control &amp; TikTok</x:v>
      </x:c>
      <x:c r="H367" s="11" t="n">
        <x:v>202410</x:v>
      </x:c>
      <x:c r="I367" s="11" t="str">
        <x:v>Complete</x:v>
      </x:c>
      <x:c r="J367" s="11" t="str">
        <x:v>Yes</x:v>
      </x:c>
    </x:row>
    <x:row r="368">
      <x:c r="A368" s="11" t="str">
        <x:v>2024-10</x:v>
      </x:c>
      <x:c r="B368" s="11" t="n">
        <x:v>7</x:v>
      </x:c>
      <x:c r="C368" s="11" t="str">
        <x:v>Verity</x:v>
      </x:c>
      <x:c r="D368" s="11" t="str">
        <x:v>Verity</x:v>
      </x:c>
      <x:c r="E368" s="11" t="str">
        <x:v>Colleen Hoover</x:v>
      </x:c>
      <x:c r="F368" s="11" t="str">
        <x:v>Official #BookTok Top 20</x:v>
      </x:c>
      <x:c r="G368" s="11" t="str">
        <x:v>Media Control &amp; TikTok</x:v>
      </x:c>
      <x:c r="H368" s="11" t="n">
        <x:v>202410</x:v>
      </x:c>
      <x:c r="I368" s="11" t="str">
        <x:v>Complete</x:v>
      </x:c>
      <x:c r="J368" s="11" t="str">
        <x:v>Yes</x:v>
      </x:c>
    </x:row>
    <x:row r="369">
      <x:c r="A369" s="11" t="str">
        <x:v>2024-10</x:v>
      </x:c>
      <x:c r="B369" s="11" t="n">
        <x:v>8</x:v>
      </x:c>
      <x:c r="C369" s="11" t="str">
        <x:v>Zeit für Fragen im Café am Rande der Welt</x:v>
      </x:c>
      <x:c r="D369" s="11" t="str">
        <x:v>Zeit für Fragen im Café am Rande der Welt</x:v>
      </x:c>
      <x:c r="E369" s="11" t="str">
        <x:v>John Strelecky</x:v>
      </x:c>
      <x:c r="F369" s="11" t="str">
        <x:v>Official #BookTok Top 20</x:v>
      </x:c>
      <x:c r="G369" s="11" t="str">
        <x:v>Media Control &amp; TikTok</x:v>
      </x:c>
      <x:c r="H369" s="11" t="n">
        <x:v>202410</x:v>
      </x:c>
      <x:c r="I369" s="11" t="str">
        <x:v>Complete</x:v>
      </x:c>
      <x:c r="J369" s="11" t="str">
        <x:v>Yes</x:v>
      </x:c>
    </x:row>
    <x:row r="370">
      <x:c r="A370" s="11" t="str">
        <x:v>2024-10</x:v>
      </x:c>
      <x:c r="B370" s="11" t="n">
        <x:v>9</x:v>
      </x:c>
      <x:c r="C370" s="11" t="str">
        <x:v>Haunting Adeline 01</x:v>
      </x:c>
      <x:c r="D370" s="11" t="str">
        <x:v>Haunting Adeline 01</x:v>
      </x:c>
      <x:c r="E370" s="11" t="str">
        <x:v>H. D. Carlton</x:v>
      </x:c>
      <x:c r="F370" s="11" t="str">
        <x:v>Official #BookTok Top 20</x:v>
      </x:c>
      <x:c r="G370" s="11" t="str">
        <x:v>Media Control &amp; TikTok</x:v>
      </x:c>
      <x:c r="H370" s="11" t="n">
        <x:v>202410</x:v>
      </x:c>
      <x:c r="I370" s="11" t="str">
        <x:v>Complete</x:v>
      </x:c>
      <x:c r="J370" s="11" t="str">
        <x:v>Yes</x:v>
      </x:c>
    </x:row>
    <x:row r="371">
      <x:c r="A371" s="11" t="str">
        <x:v>2024-10</x:v>
      </x:c>
      <x:c r="B371" s="11" t="n">
        <x:v>10</x:v>
      </x:c>
      <x:c r="C371" s="11" t="str">
        <x:v>Kill Switch - Gefährliche Leidenschaft</x:v>
      </x:c>
      <x:c r="D371" s="11" t="str">
        <x:v>Kill Switch - Gefährliche Leidenschaft</x:v>
      </x:c>
      <x:c r="E371" s="11" t="str">
        <x:v>Penelope Douglas</x:v>
      </x:c>
      <x:c r="F371" s="11" t="str">
        <x:v>Official #BookTok Top 20</x:v>
      </x:c>
      <x:c r="G371" s="11" t="str">
        <x:v>Media Control &amp; TikTok</x:v>
      </x:c>
      <x:c r="H371" s="11" t="n">
        <x:v>202410</x:v>
      </x:c>
      <x:c r="I371" s="11" t="str">
        <x:v>Complete</x:v>
      </x:c>
      <x:c r="J371" s="11" t="str">
        <x:v>Yes</x:v>
      </x:c>
    </x:row>
    <x:row r="372">
      <x:c r="A372" s="11" t="str">
        <x:v>2024-10</x:v>
      </x:c>
      <x:c r="B372" s="11" t="n">
        <x:v>11</x:v>
      </x:c>
      <x:c r="C372" s="11" t="str">
        <x:v>The Games Gods Play - Schattenverführt</x:v>
      </x:c>
      <x:c r="D372" s="11" t="str">
        <x:v>The Games Gods Play - Schattenverführt</x:v>
      </x:c>
      <x:c r="E372" s="11" t="str">
        <x:v>Abigail Owen</x:v>
      </x:c>
      <x:c r="F372" s="11" t="str">
        <x:v>Official #BookTok Top 20</x:v>
      </x:c>
      <x:c r="G372" s="11" t="str">
        <x:v>Media Control &amp; TikTok</x:v>
      </x:c>
      <x:c r="H372" s="11" t="n">
        <x:v>202410</x:v>
      </x:c>
      <x:c r="I372" s="11" t="str">
        <x:v>Complete</x:v>
      </x:c>
      <x:c r="J372" s="11" t="str">
        <x:v>Yes</x:v>
      </x:c>
    </x:row>
    <x:row r="373">
      <x:c r="A373" s="11" t="str">
        <x:v>2024-10</x:v>
      </x:c>
      <x:c r="B373" s="11" t="n">
        <x:v>12</x:v>
      </x:c>
      <x:c r="C373" s="11" t="str">
        <x:v>Beyond the Play 1: First Down</x:v>
      </x:c>
      <x:c r="D373" s="11" t="str">
        <x:v>Beyond the Play 1: First Down</x:v>
      </x:c>
      <x:c r="E373" s="11" t="str">
        <x:v>Grace Reilly</x:v>
      </x:c>
      <x:c r="F373" s="11" t="str">
        <x:v>Official #BookTok Top 20</x:v>
      </x:c>
      <x:c r="G373" s="11" t="str">
        <x:v>Media Control &amp; TikTok</x:v>
      </x:c>
      <x:c r="H373" s="11" t="n">
        <x:v>202410</x:v>
      </x:c>
      <x:c r="I373" s="11" t="str">
        <x:v>Complete</x:v>
      </x:c>
      <x:c r="J373" s="11" t="str">
        <x:v>Yes</x:v>
      </x:c>
    </x:row>
    <x:row r="374">
      <x:c r="A374" s="11" t="str">
        <x:v>2024-10</x:v>
      </x:c>
      <x:c r="B374" s="11" t="n">
        <x:v>13</x:v>
      </x:c>
      <x:c r="C374" s="11" t="str">
        <x:v>Corrupt - Dunkle Versuchung</x:v>
      </x:c>
      <x:c r="D374" s="11" t="str">
        <x:v>Corrupt - Dunkle Versuchung</x:v>
      </x:c>
      <x:c r="E374" s="11" t="str">
        <x:v>Penelope Douglas</x:v>
      </x:c>
      <x:c r="F374" s="11" t="str">
        <x:v>Official #BookTok Top 20</x:v>
      </x:c>
      <x:c r="G374" s="11" t="str">
        <x:v>Media Control &amp; TikTok</x:v>
      </x:c>
      <x:c r="H374" s="11" t="n">
        <x:v>202410</x:v>
      </x:c>
      <x:c r="I374" s="11" t="str">
        <x:v>Complete</x:v>
      </x:c>
      <x:c r="J374" s="11" t="str">
        <x:v>Yes</x:v>
      </x:c>
    </x:row>
    <x:row r="375">
      <x:c r="A375" s="11" t="str">
        <x:v>2024-10</x:v>
      </x:c>
      <x:c r="B375" s="11" t="n">
        <x:v>14</x:v>
      </x:c>
      <x:c r="C375" s="11" t="str">
        <x:v>Dark Venice. Deep Water (Dark Venice 1)</x:v>
      </x:c>
      <x:c r="D375" s="11" t="str">
        <x:v>Dark Venice. Deep Water (Dark Venice 1)</x:v>
      </x:c>
      <x:c r="E375" s="11" t="str">
        <x:v>Antonia Wesseling</x:v>
      </x:c>
      <x:c r="F375" s="11" t="str">
        <x:v>Official #BookTok Top 20</x:v>
      </x:c>
      <x:c r="G375" s="11" t="str">
        <x:v>Media Control &amp; TikTok</x:v>
      </x:c>
      <x:c r="H375" s="11" t="n">
        <x:v>202410</x:v>
      </x:c>
      <x:c r="I375" s="11" t="str">
        <x:v>Complete</x:v>
      </x:c>
      <x:c r="J375" s="11" t="str">
        <x:v>Yes</x:v>
      </x:c>
    </x:row>
    <x:row r="376">
      <x:c r="A376" s="11" t="str">
        <x:v>2024-10</x:v>
      </x:c>
      <x:c r="B376" s="11" t="n">
        <x:v>15</x:v>
      </x:c>
      <x:c r="C376" s="11" t="str">
        <x:v>Mile High</x:v>
      </x:c>
      <x:c r="D376" s="11" t="str">
        <x:v>Mile High</x:v>
      </x:c>
      <x:c r="E376" s="11" t="str">
        <x:v>Liz Tomforde</x:v>
      </x:c>
      <x:c r="F376" s="11" t="str">
        <x:v>Official #BookTok Top 20</x:v>
      </x:c>
      <x:c r="G376" s="11" t="str">
        <x:v>Media Control &amp; TikTok</x:v>
      </x:c>
      <x:c r="H376" s="11" t="n">
        <x:v>202410</x:v>
      </x:c>
      <x:c r="I376" s="11" t="str">
        <x:v>Complete</x:v>
      </x:c>
      <x:c r="J376" s="11" t="str">
        <x:v>Yes</x:v>
      </x:c>
    </x:row>
    <x:row r="377">
      <x:c r="A377" s="11" t="str">
        <x:v>2024-10</x:v>
      </x:c>
      <x:c r="B377" s="11" t="n">
        <x:v>16</x:v>
      </x:c>
      <x:c r="C377" s="11" t="str">
        <x:v>Culpa Tuya - Deine Schuld</x:v>
      </x:c>
      <x:c r="D377" s="11" t="str">
        <x:v>Culpa Tuya - Deine Schuld</x:v>
      </x:c>
      <x:c r="E377" s="11" t="str">
        <x:v>Mercedes Ron</x:v>
      </x:c>
      <x:c r="F377" s="11" t="str">
        <x:v>Official #BookTok Top 20</x:v>
      </x:c>
      <x:c r="G377" s="11" t="str">
        <x:v>Media Control &amp; TikTok</x:v>
      </x:c>
      <x:c r="H377" s="11" t="n">
        <x:v>202410</x:v>
      </x:c>
      <x:c r="I377" s="11" t="str">
        <x:v>Complete</x:v>
      </x:c>
      <x:c r="J377" s="11" t="str">
        <x:v>Yes</x:v>
      </x:c>
    </x:row>
    <x:row r="378">
      <x:c r="A378" s="11" t="str">
        <x:v>2024-10</x:v>
      </x:c>
      <x:c r="B378" s="11" t="n">
        <x:v>17</x:v>
      </x:c>
      <x:c r="C378" s="11" t="str">
        <x:v>Culpa Mía - Meine Schuld</x:v>
      </x:c>
      <x:c r="D378" s="11" t="str">
        <x:v>Culpa Mía - Meine Schuld</x:v>
      </x:c>
      <x:c r="E378" s="11" t="str">
        <x:v>Mercedes Ron</x:v>
      </x:c>
      <x:c r="F378" s="11" t="str">
        <x:v>Official #BookTok Top 20</x:v>
      </x:c>
      <x:c r="G378" s="11" t="str">
        <x:v>Media Control &amp; TikTok</x:v>
      </x:c>
      <x:c r="H378" s="11" t="n">
        <x:v>202410</x:v>
      </x:c>
      <x:c r="I378" s="11" t="str">
        <x:v>Complete</x:v>
      </x:c>
      <x:c r="J378" s="11" t="str">
        <x:v>Yes</x:v>
      </x:c>
    </x:row>
    <x:row r="379">
      <x:c r="A379" s="11" t="str">
        <x:v>2024-10</x:v>
      </x:c>
      <x:c r="B379" s="11" t="n">
        <x:v>18</x:v>
      </x:c>
      <x:c r="C379" s="11" t="str">
        <x:v>Iron Flame - Flammengeküsst</x:v>
      </x:c>
      <x:c r="D379" s="11" t="str">
        <x:v>Iron Flame - Flammengeküsst</x:v>
      </x:c>
      <x:c r="E379" s="11" t="str">
        <x:v>Rebecca Yarros</x:v>
      </x:c>
      <x:c r="F379" s="11" t="str">
        <x:v>Official #BookTok Top 20</x:v>
      </x:c>
      <x:c r="G379" s="11" t="str">
        <x:v>Media Control &amp; TikTok</x:v>
      </x:c>
      <x:c r="H379" s="11" t="n">
        <x:v>202410</x:v>
      </x:c>
      <x:c r="I379" s="11" t="str">
        <x:v>Complete</x:v>
      </x:c>
      <x:c r="J379" s="11" t="str">
        <x:v>Yes</x:v>
      </x:c>
    </x:row>
    <x:row r="380">
      <x:c r="A380" s="11" t="str">
        <x:v>2024-10</x:v>
      </x:c>
      <x:c r="B380" s="11" t="n">
        <x:v>19</x:v>
      </x:c>
      <x:c r="C380" s="11" t="str">
        <x:v>Boys of Tommen 2: Keeping 13</x:v>
      </x:c>
      <x:c r="D380" s="11" t="str">
        <x:v>Boys of Tommen 2: Keeping 13</x:v>
      </x:c>
      <x:c r="E380" s="11" t="str">
        <x:v>Chloe Walsh</x:v>
      </x:c>
      <x:c r="F380" s="11" t="str">
        <x:v>Official #BookTok Top 20</x:v>
      </x:c>
      <x:c r="G380" s="11" t="str">
        <x:v>Media Control &amp; TikTok</x:v>
      </x:c>
      <x:c r="H380" s="11" t="n">
        <x:v>202410</x:v>
      </x:c>
      <x:c r="I380" s="11" t="str">
        <x:v>Complete</x:v>
      </x:c>
      <x:c r="J380" s="11" t="str">
        <x:v>Yes</x:v>
      </x:c>
    </x:row>
    <x:row r="381">
      <x:c r="A381" s="11" t="str">
        <x:v>2024-10</x:v>
      </x:c>
      <x:c r="B381" s="11" t="n">
        <x:v>20</x:v>
      </x:c>
      <x:c r="C381" s="11" t="str">
        <x:v>The Chase - Gegensätze ziehen sich an</x:v>
      </x:c>
      <x:c r="D381" s="11" t="str">
        <x:v>The Chase - Gegensätze ziehen sich an</x:v>
      </x:c>
      <x:c r="E381" s="11" t="str">
        <x:v>Elle Kennedy</x:v>
      </x:c>
      <x:c r="F381" s="11" t="str">
        <x:v>Official #BookTok Top 20</x:v>
      </x:c>
      <x:c r="G381" s="11" t="str">
        <x:v>Media Control &amp; TikTok</x:v>
      </x:c>
      <x:c r="H381" s="11" t="n">
        <x:v>202410</x:v>
      </x:c>
      <x:c r="I381" s="11" t="str">
        <x:v>Complete</x:v>
      </x:c>
      <x:c r="J381" s="11" t="str">
        <x:v>Yes</x:v>
      </x:c>
    </x:row>
    <x:row r="382">
      <x:c r="A382" s="11" t="str">
        <x:v>2024-11</x:v>
      </x:c>
      <x:c r="B382" s="11" t="n">
        <x:v>1</x:v>
      </x:c>
      <x:c r="C382" s="11" t="str">
        <x:v>Vergissmeinnicht - Was die Welt zusammenhält</x:v>
      </x:c>
      <x:c r="D382" s="11" t="str">
        <x:v>Vergissmeinnicht - Was die Welt zusammenhält</x:v>
      </x:c>
      <x:c r="E382" s="11" t="str">
        <x:v>Kerstin Gier</x:v>
      </x:c>
      <x:c r="F382" s="11" t="str">
        <x:v>Official #BookTok Top 20</x:v>
      </x:c>
      <x:c r="G382" s="11" t="str">
        <x:v>Börsenblatt / Media Control &amp; TikTok</x:v>
      </x:c>
      <x:c r="H382" s="11" t="n">
        <x:v>202411</x:v>
      </x:c>
      <x:c r="I382" s="11" t="str">
        <x:v>Partial</x:v>
      </x:c>
      <x:c r="J382" s="11" t="str">
        <x:v>No</x:v>
      </x:c>
    </x:row>
    <x:row r="383">
      <x:c r="A383" s="11" t="str">
        <x:v>2024-11</x:v>
      </x:c>
      <x:c r="B383" s="11" t="n">
        <x:v>2</x:v>
      </x:c>
      <x:c r="C383" s="11" t="str">
        <x:v>Regents</x:v>
      </x:c>
      <x:c r="D383" s="11" t="str">
        <x:v>Regents</x:v>
      </x:c>
      <x:c r="E383" s="11" t="str">
        <x:v>Isabelle North</x:v>
      </x:c>
      <x:c r="F383" s="11" t="str">
        <x:v>Official #BookTok Top 20</x:v>
      </x:c>
      <x:c r="G383" s="11" t="str">
        <x:v>Börsenblatt / Media Control &amp; TikTok</x:v>
      </x:c>
      <x:c r="H383" s="11" t="n">
        <x:v>202411</x:v>
      </x:c>
      <x:c r="I383" s="11" t="str">
        <x:v>Partial</x:v>
      </x:c>
      <x:c r="J383" s="11" t="str">
        <x:v>No</x:v>
      </x:c>
    </x:row>
    <x:row r="384">
      <x:c r="A384" s="11" t="str">
        <x:v>2024-11</x:v>
      </x:c>
      <x:c r="B384" s="11" t="n">
        <x:v>4</x:v>
      </x:c>
      <x:c r="C384" s="11" t="str">
        <x:v>King of Sloth</x:v>
      </x:c>
      <x:c r="D384" s="11" t="str">
        <x:v>King of Sloth</x:v>
      </x:c>
      <x:c r="E384" s="11" t="str">
        <x:v>Ana Huang</x:v>
      </x:c>
      <x:c r="F384" s="11" t="str">
        <x:v>Official #BookTok Top 20</x:v>
      </x:c>
      <x:c r="G384" s="11" t="str">
        <x:v>Börsenblatt / Media Control &amp; TikTok</x:v>
      </x:c>
      <x:c r="H384" s="11" t="n">
        <x:v>202411</x:v>
      </x:c>
      <x:c r="I384" s="11" t="str">
        <x:v>Partial</x:v>
      </x:c>
      <x:c r="J384" s="11" t="str">
        <x:v>No</x:v>
      </x:c>
    </x:row>
    <x:row r="385">
      <x:c r="A385" s="11" t="str">
        <x:v>2024-11</x:v>
      </x:c>
      <x:c r="B385" s="11" t="n">
        <x:v>6</x:v>
      </x:c>
      <x:c r="C385" s="11" t="str">
        <x:v>Larsson Legacy</x:v>
      </x:c>
      <x:c r="D385" s="11" t="str">
        <x:v>Larsson Legacy</x:v>
      </x:c>
      <x:c r="E385" s="11" t="str">
        <x:v>Carolin Wahl</x:v>
      </x:c>
      <x:c r="F385" s="11" t="str">
        <x:v>Official #BookTok Top 20</x:v>
      </x:c>
      <x:c r="G385" s="11" t="str">
        <x:v>Börsenblatt / Media Control &amp; TikTok</x:v>
      </x:c>
      <x:c r="H385" s="11" t="n">
        <x:v>202411</x:v>
      </x:c>
      <x:c r="I385" s="11" t="str">
        <x:v>Partial</x:v>
      </x:c>
      <x:c r="J385" s="11" t="str">
        <x:v>No</x:v>
      </x:c>
    </x:row>
    <x:row r="386">
      <x:c r="A386" s="11" t="str">
        <x:v>2024-11</x:v>
      </x:c>
      <x:c r="B386" s="11" t="n">
        <x:v>7</x:v>
      </x:c>
      <x:c r="C386" s="11" t="str">
        <x:v>My Dark Romeo</x:v>
      </x:c>
      <x:c r="D386" s="11" t="str">
        <x:v>My Dark Romeo</x:v>
      </x:c>
      <x:c r="E386" s="11" t="str">
        <x:v>L. J. Shen &amp; Parker S. Huntington</x:v>
      </x:c>
      <x:c r="F386" s="11" t="str">
        <x:v>Official #BookTok Top 20</x:v>
      </x:c>
      <x:c r="G386" s="11" t="str">
        <x:v>Börsenblatt / Media Control &amp; TikTok</x:v>
      </x:c>
      <x:c r="H386" s="11" t="n">
        <x:v>202411</x:v>
      </x:c>
      <x:c r="I386" s="11" t="str">
        <x:v>Partial</x:v>
      </x:c>
      <x:c r="J386" s="11" t="str">
        <x:v>No</x:v>
      </x:c>
    </x:row>
    <x:row r="387">
      <x:c r="A387" s="11" t="str">
        <x:v>2024-11</x:v>
      </x:c>
      <x:c r="B387" s="11" t="n">
        <x:v>16</x:v>
      </x:c>
      <x:c r="C387" s="11" t="str">
        <x:v>Sweet Nightmare</x:v>
      </x:c>
      <x:c r="D387" s="11" t="str">
        <x:v>Sweet Nightmare</x:v>
      </x:c>
      <x:c r="E387" s="11" t="str">
        <x:v>Tracy Wolff</x:v>
      </x:c>
      <x:c r="F387" s="11" t="str">
        <x:v>Official #BookTok Top 20</x:v>
      </x:c>
      <x:c r="G387" s="11" t="str">
        <x:v>Börsenblatt / Media Control &amp; TikTok</x:v>
      </x:c>
      <x:c r="H387" s="11" t="n">
        <x:v>202411</x:v>
      </x:c>
      <x:c r="I387" s="11" t="str">
        <x:v>Partial</x:v>
      </x:c>
      <x:c r="J387" s="11" t="str">
        <x:v>No</x:v>
      </x:c>
    </x:row>
    <x:row r="388">
      <x:c r="A388" s="11" t="str">
        <x:v>2024-11</x:v>
      </x:c>
      <x:c r="B388" s="11" t="n">
        <x:v>18</x:v>
      </x:c>
      <x:c r="C388" s="11" t="str">
        <x:v>The Big Five for Life</x:v>
      </x:c>
      <x:c r="D388" s="11" t="str">
        <x:v>The Big Five for Life</x:v>
      </x:c>
      <x:c r="E388" s="11" t="str">
        <x:v>John Strelecky</x:v>
      </x:c>
      <x:c r="F388" s="11" t="str">
        <x:v>Official #BookTok Top 20</x:v>
      </x:c>
      <x:c r="G388" s="11" t="str">
        <x:v>Börsenblatt / Media Control &amp; TikTok</x:v>
      </x:c>
      <x:c r="H388" s="11" t="n">
        <x:v>202411</x:v>
      </x:c>
      <x:c r="I388" s="11" t="str">
        <x:v>Partial</x:v>
      </x:c>
      <x:c r="J388" s="11" t="str">
        <x:v>No</x:v>
      </x:c>
    </x:row>
    <x:row r="389">
      <x:c r="A389" s="11" t="str">
        <x:v>2024-12</x:v>
      </x:c>
      <x:c r="B389" s="11" t="n">
        <x:v>1</x:v>
      </x:c>
      <x:c r="C389" s="11" t="str">
        <x:v>Vergissmeinnicht - Was die Welt zusammenhält</x:v>
      </x:c>
      <x:c r="D389" s="11" t="str">
        <x:v>Vergissmeinnicht - Was die Welt zusammenhält</x:v>
      </x:c>
      <x:c r="E389" s="11" t="str">
        <x:v>Kerstin Gier</x:v>
      </x:c>
      <x:c r="F389" s="11" t="str">
        <x:v>Official #BookTok Top 20</x:v>
      </x:c>
      <x:c r="G389" s="11" t="str">
        <x:v>Media Control &amp; TikTok</x:v>
      </x:c>
      <x:c r="H389" s="11" t="n">
        <x:v>202412</x:v>
      </x:c>
      <x:c r="I389" s="11" t="str">
        <x:v>Complete</x:v>
      </x:c>
      <x:c r="J389" s="11" t="str">
        <x:v>Yes</x:v>
      </x:c>
    </x:row>
    <x:row r="390">
      <x:c r="A390" s="11" t="str">
        <x:v>2024-12</x:v>
      </x:c>
      <x:c r="B390" s="11" t="n">
        <x:v>2</x:v>
      </x:c>
      <x:c r="C390" s="11" t="str">
        <x:v>Icebreaker</x:v>
      </x:c>
      <x:c r="D390" s="11" t="str">
        <x:v>Icebreaker</x:v>
      </x:c>
      <x:c r="E390" s="11" t="str">
        <x:v>Hannah Grace</x:v>
      </x:c>
      <x:c r="F390" s="11" t="str">
        <x:v>Official #BookTok Top 20</x:v>
      </x:c>
      <x:c r="G390" s="11" t="str">
        <x:v>Media Control &amp; TikTok</x:v>
      </x:c>
      <x:c r="H390" s="11" t="n">
        <x:v>202412</x:v>
      </x:c>
      <x:c r="I390" s="11" t="str">
        <x:v>Complete</x:v>
      </x:c>
      <x:c r="J390" s="11" t="str">
        <x:v>Yes</x:v>
      </x:c>
    </x:row>
    <x:row r="391">
      <x:c r="A391" s="11" t="str">
        <x:v>2024-12</x:v>
      </x:c>
      <x:c r="B391" s="11" t="n">
        <x:v>3</x:v>
      </x:c>
      <x:c r="C391" s="11" t="str">
        <x:v>Regents</x:v>
      </x:c>
      <x:c r="D391" s="11" t="str">
        <x:v>Regents</x:v>
      </x:c>
      <x:c r="E391" s="11" t="str">
        <x:v>Isabelle North</x:v>
      </x:c>
      <x:c r="F391" s="11" t="str">
        <x:v>Official #BookTok Top 20</x:v>
      </x:c>
      <x:c r="G391" s="11" t="str">
        <x:v>Media Control &amp; TikTok</x:v>
      </x:c>
      <x:c r="H391" s="11" t="n">
        <x:v>202412</x:v>
      </x:c>
      <x:c r="I391" s="11" t="str">
        <x:v>Complete</x:v>
      </x:c>
      <x:c r="J391" s="11" t="str">
        <x:v>Yes</x:v>
      </x:c>
    </x:row>
    <x:row r="392">
      <x:c r="A392" s="11" t="str">
        <x:v>2024-12</x:v>
      </x:c>
      <x:c r="B392" s="11" t="n">
        <x:v>4</x:v>
      </x:c>
      <x:c r="C392" s="11" t="str">
        <x:v>Nur noch ein einziges Mal</x:v>
      </x:c>
      <x:c r="D392" s="11" t="str">
        <x:v>Nur noch ein einziges Mal</x:v>
      </x:c>
      <x:c r="E392" s="11" t="str">
        <x:v>Colleen Hoover</x:v>
      </x:c>
      <x:c r="F392" s="11" t="str">
        <x:v>Official #BookTok Top 20</x:v>
      </x:c>
      <x:c r="G392" s="11" t="str">
        <x:v>Media Control &amp; TikTok</x:v>
      </x:c>
      <x:c r="H392" s="11" t="n">
        <x:v>202412</x:v>
      </x:c>
      <x:c r="I392" s="11" t="str">
        <x:v>Complete</x:v>
      </x:c>
      <x:c r="J392" s="11" t="str">
        <x:v>Yes</x:v>
      </x:c>
    </x:row>
    <x:row r="393">
      <x:c r="A393" s="11" t="str">
        <x:v>2024-12</x:v>
      </x:c>
      <x:c r="B393" s="11" t="n">
        <x:v>5</x:v>
      </x:c>
      <x:c r="C393" s="11" t="str">
        <x:v>Culpa Mía - Meine Schuld</x:v>
      </x:c>
      <x:c r="D393" s="11" t="str">
        <x:v>Culpa Mía - Meine Schuld</x:v>
      </x:c>
      <x:c r="E393" s="11" t="str">
        <x:v>Mercedes Ron</x:v>
      </x:c>
      <x:c r="F393" s="11" t="str">
        <x:v>Official #BookTok Top 20</x:v>
      </x:c>
      <x:c r="G393" s="11" t="str">
        <x:v>Media Control &amp; TikTok</x:v>
      </x:c>
      <x:c r="H393" s="11" t="n">
        <x:v>202412</x:v>
      </x:c>
      <x:c r="I393" s="11" t="str">
        <x:v>Complete</x:v>
      </x:c>
      <x:c r="J393" s="11" t="str">
        <x:v>Yes</x:v>
      </x:c>
    </x:row>
    <x:row r="394">
      <x:c r="A394" s="11" t="str">
        <x:v>2024-12</x:v>
      </x:c>
      <x:c r="B394" s="11" t="n">
        <x:v>6</x:v>
      </x:c>
      <x:c r="C394" s="11" t="str">
        <x:v>Verity</x:v>
      </x:c>
      <x:c r="D394" s="11" t="str">
        <x:v>Verity</x:v>
      </x:c>
      <x:c r="E394" s="11" t="str">
        <x:v>Colleen Hoover</x:v>
      </x:c>
      <x:c r="F394" s="11" t="str">
        <x:v>Official #BookTok Top 20</x:v>
      </x:c>
      <x:c r="G394" s="11" t="str">
        <x:v>Media Control &amp; TikTok</x:v>
      </x:c>
      <x:c r="H394" s="11" t="n">
        <x:v>202412</x:v>
      </x:c>
      <x:c r="I394" s="11" t="str">
        <x:v>Complete</x:v>
      </x:c>
      <x:c r="J394" s="11" t="str">
        <x:v>Yes</x:v>
      </x:c>
    </x:row>
    <x:row r="395">
      <x:c r="A395" s="11" t="str">
        <x:v>2024-12</x:v>
      </x:c>
      <x:c r="B395" s="11" t="n">
        <x:v>7</x:v>
      </x:c>
      <x:c r="C395" s="11" t="str">
        <x:v>Fourth Wing - Flammengeküsst</x:v>
      </x:c>
      <x:c r="D395" s="11" t="str">
        <x:v>Fourth Wing - Flammengeküsst</x:v>
      </x:c>
      <x:c r="E395" s="11" t="str">
        <x:v>Rebecca Yarros</x:v>
      </x:c>
      <x:c r="F395" s="11" t="str">
        <x:v>Official #BookTok Top 20</x:v>
      </x:c>
      <x:c r="G395" s="11" t="str">
        <x:v>Media Control &amp; TikTok</x:v>
      </x:c>
      <x:c r="H395" s="11" t="n">
        <x:v>202412</x:v>
      </x:c>
      <x:c r="I395" s="11" t="str">
        <x:v>Complete</x:v>
      </x:c>
      <x:c r="J395" s="11" t="str">
        <x:v>Yes</x:v>
      </x:c>
    </x:row>
    <x:row r="396">
      <x:c r="A396" s="11" t="str">
        <x:v>2024-12</x:v>
      </x:c>
      <x:c r="B396" s="11" t="n">
        <x:v>8</x:v>
      </x:c>
      <x:c r="C396" s="11" t="str">
        <x:v>Culpa Tuya - Deine Schuld</x:v>
      </x:c>
      <x:c r="D396" s="11" t="str">
        <x:v>Culpa Tuya - Deine Schuld</x:v>
      </x:c>
      <x:c r="E396" s="11" t="str">
        <x:v>Mercedes Ron</x:v>
      </x:c>
      <x:c r="F396" s="11" t="str">
        <x:v>Official #BookTok Top 20</x:v>
      </x:c>
      <x:c r="G396" s="11" t="str">
        <x:v>Media Control &amp; TikTok</x:v>
      </x:c>
      <x:c r="H396" s="11" t="n">
        <x:v>202412</x:v>
      </x:c>
      <x:c r="I396" s="11" t="str">
        <x:v>Complete</x:v>
      </x:c>
      <x:c r="J396" s="11" t="str">
        <x:v>Yes</x:v>
      </x:c>
    </x:row>
    <x:row r="397">
      <x:c r="A397" s="11" t="str">
        <x:v>2024-12</x:v>
      </x:c>
      <x:c r="B397" s="11" t="n">
        <x:v>9</x:v>
      </x:c>
      <x:c r="C397" s="11" t="str">
        <x:v>Ein wenig Leben</x:v>
      </x:c>
      <x:c r="D397" s="11" t="str">
        <x:v>Ein wenig Leben</x:v>
      </x:c>
      <x:c r="E397" s="11" t="str">
        <x:v>Hanya Yanagihara</x:v>
      </x:c>
      <x:c r="F397" s="11" t="str">
        <x:v>Official #BookTok Top 20</x:v>
      </x:c>
      <x:c r="G397" s="11" t="str">
        <x:v>Media Control &amp; TikTok</x:v>
      </x:c>
      <x:c r="H397" s="11" t="n">
        <x:v>202412</x:v>
      </x:c>
      <x:c r="I397" s="11" t="str">
        <x:v>Complete</x:v>
      </x:c>
      <x:c r="J397" s="11" t="str">
        <x:v>Yes</x:v>
      </x:c>
    </x:row>
    <x:row r="398">
      <x:c r="A398" s="11" t="str">
        <x:v>2024-12</x:v>
      </x:c>
      <x:c r="B398" s="11" t="n">
        <x:v>10</x:v>
      </x:c>
      <x:c r="C398" s="11" t="str">
        <x:v>The Big Five for Life</x:v>
      </x:c>
      <x:c r="D398" s="11" t="str">
        <x:v>The Big Five for Life</x:v>
      </x:c>
      <x:c r="E398" s="11" t="str">
        <x:v>John Strelecky</x:v>
      </x:c>
      <x:c r="F398" s="11" t="str">
        <x:v>Official #BookTok Top 20</x:v>
      </x:c>
      <x:c r="G398" s="11" t="str">
        <x:v>Media Control &amp; TikTok</x:v>
      </x:c>
      <x:c r="H398" s="11" t="n">
        <x:v>202412</x:v>
      </x:c>
      <x:c r="I398" s="11" t="str">
        <x:v>Complete</x:v>
      </x:c>
      <x:c r="J398" s="11" t="str">
        <x:v>Yes</x:v>
      </x:c>
    </x:row>
    <x:row r="399">
      <x:c r="A399" s="11" t="str">
        <x:v>2024-12</x:v>
      </x:c>
      <x:c r="B399" s="11" t="n">
        <x:v>11</x:v>
      </x:c>
      <x:c r="C399" s="11" t="str">
        <x:v>Haunting Adeline 01</x:v>
      </x:c>
      <x:c r="D399" s="11" t="str">
        <x:v>Haunting Adeline 01</x:v>
      </x:c>
      <x:c r="E399" s="11" t="str">
        <x:v>H. D. Carlton</x:v>
      </x:c>
      <x:c r="F399" s="11" t="str">
        <x:v>Official #BookTok Top 20</x:v>
      </x:c>
      <x:c r="G399" s="11" t="str">
        <x:v>Media Control &amp; TikTok</x:v>
      </x:c>
      <x:c r="H399" s="11" t="n">
        <x:v>202412</x:v>
      </x:c>
      <x:c r="I399" s="11" t="str">
        <x:v>Complete</x:v>
      </x:c>
      <x:c r="J399" s="11" t="str">
        <x:v>Yes</x:v>
      </x:c>
    </x:row>
    <x:row r="400">
      <x:c r="A400" s="11" t="str">
        <x:v>2024-12</x:v>
      </x:c>
      <x:c r="B400" s="11" t="n">
        <x:v>12</x:v>
      </x:c>
      <x:c r="C400" s="11" t="str">
        <x:v>A Good Girl's Guide to Murder</x:v>
      </x:c>
      <x:c r="D400" s="11" t="str">
        <x:v>A Good Girl's Guide to Murder</x:v>
      </x:c>
      <x:c r="E400" s="11" t="str">
        <x:v>Holly Jackson</x:v>
      </x:c>
      <x:c r="F400" s="11" t="str">
        <x:v>Official #BookTok Top 20</x:v>
      </x:c>
      <x:c r="G400" s="11" t="str">
        <x:v>Media Control &amp; TikTok</x:v>
      </x:c>
      <x:c r="H400" s="11" t="n">
        <x:v>202412</x:v>
      </x:c>
      <x:c r="I400" s="11" t="str">
        <x:v>Complete</x:v>
      </x:c>
      <x:c r="J400" s="11" t="str">
        <x:v>Yes</x:v>
      </x:c>
    </x:row>
    <x:row r="401">
      <x:c r="A401" s="11" t="str">
        <x:v>2024-12</x:v>
      </x:c>
      <x:c r="B401" s="11" t="n">
        <x:v>13</x:v>
      </x:c>
      <x:c r="C401" s="11" t="str">
        <x:v>Iron Flame - Flammengeküsst</x:v>
      </x:c>
      <x:c r="D401" s="11" t="str">
        <x:v>Iron Flame - Flammengeküsst</x:v>
      </x:c>
      <x:c r="E401" s="11" t="str">
        <x:v>Rebecca Yarros</x:v>
      </x:c>
      <x:c r="F401" s="11" t="str">
        <x:v>Official #BookTok Top 20</x:v>
      </x:c>
      <x:c r="G401" s="11" t="str">
        <x:v>Media Control &amp; TikTok</x:v>
      </x:c>
      <x:c r="H401" s="11" t="n">
        <x:v>202412</x:v>
      </x:c>
      <x:c r="I401" s="11" t="str">
        <x:v>Complete</x:v>
      </x:c>
      <x:c r="J401" s="11" t="str">
        <x:v>Yes</x:v>
      </x:c>
    </x:row>
    <x:row r="402">
      <x:c r="A402" s="11" t="str">
        <x:v>2024-12</x:v>
      </x:c>
      <x:c r="B402" s="11" t="n">
        <x:v>14</x:v>
      </x:c>
      <x:c r="C402" s="11" t="str">
        <x:v>Wie die Ruhe vor dem Sturm</x:v>
      </x:c>
      <x:c r="D402" s="11" t="str">
        <x:v>Wie die Ruhe vor dem Sturm</x:v>
      </x:c>
      <x:c r="E402" s="11" t="str">
        <x:v>Brittainy Cherry</x:v>
      </x:c>
      <x:c r="F402" s="11" t="str">
        <x:v>Official #BookTok Top 20</x:v>
      </x:c>
      <x:c r="G402" s="11" t="str">
        <x:v>Media Control &amp; TikTok</x:v>
      </x:c>
      <x:c r="H402" s="11" t="n">
        <x:v>202412</x:v>
      </x:c>
      <x:c r="I402" s="11" t="str">
        <x:v>Complete</x:v>
      </x:c>
      <x:c r="J402" s="11" t="str">
        <x:v>Yes</x:v>
      </x:c>
    </x:row>
    <x:row r="403">
      <x:c r="A403" s="11" t="str">
        <x:v>2024-12</x:v>
      </x:c>
      <x:c r="B403" s="11" t="n">
        <x:v>15</x:v>
      </x:c>
      <x:c r="C403" s="11" t="str">
        <x:v>God of Pain - Verbotene Liebe</x:v>
      </x:c>
      <x:c r="D403" s="11" t="str">
        <x:v>God of Pain - Verbotene Liebe</x:v>
      </x:c>
      <x:c r="E403" s="11" t="str">
        <x:v>Rina Kent</x:v>
      </x:c>
      <x:c r="F403" s="11" t="str">
        <x:v>Official #BookTok Top 20</x:v>
      </x:c>
      <x:c r="G403" s="11" t="str">
        <x:v>Media Control &amp; TikTok</x:v>
      </x:c>
      <x:c r="H403" s="11" t="n">
        <x:v>202412</x:v>
      </x:c>
      <x:c r="I403" s="11" t="str">
        <x:v>Complete</x:v>
      </x:c>
      <x:c r="J403" s="11" t="str">
        <x:v>Yes</x:v>
      </x:c>
    </x:row>
    <x:row r="404">
      <x:c r="A404" s="11" t="str">
        <x:v>2024-12</x:v>
      </x:c>
      <x:c r="B404" s="11" t="n">
        <x:v>16</x:v>
      </x:c>
      <x:c r="C404" s="11" t="str">
        <x:v>Das Reich der sieben Höfe - Dornen und Rosen</x:v>
      </x:c>
      <x:c r="D404" s="11" t="str">
        <x:v>Das Reich der sieben Höfe - Dornen und Rosen</x:v>
      </x:c>
      <x:c r="E404" s="11" t="str">
        <x:v>Sarah J. Maas</x:v>
      </x:c>
      <x:c r="F404" s="11" t="str">
        <x:v>Official #BookTok Top 20</x:v>
      </x:c>
      <x:c r="G404" s="11" t="str">
        <x:v>Media Control &amp; TikTok</x:v>
      </x:c>
      <x:c r="H404" s="11" t="n">
        <x:v>202412</x:v>
      </x:c>
      <x:c r="I404" s="11" t="str">
        <x:v>Complete</x:v>
      </x:c>
      <x:c r="J404" s="11" t="str">
        <x:v>Yes</x:v>
      </x:c>
    </x:row>
    <x:row r="405">
      <x:c r="A405" s="11" t="str">
        <x:v>2024-12</x:v>
      </x:c>
      <x:c r="B405" s="11" t="n">
        <x:v>17</x:v>
      </x:c>
      <x:c r="C405" s="11" t="str">
        <x:v>Pretty Scandalous - Heißer als Rache</x:v>
      </x:c>
      <x:c r="D405" s="11" t="str">
        <x:v>Pretty Scandalous - Heißer als Rache</x:v>
      </x:c>
      <x:c r="E405" s="11" t="str">
        <x:v>Tami Fischer</x:v>
      </x:c>
      <x:c r="F405" s="11" t="str">
        <x:v>Official #BookTok Top 20</x:v>
      </x:c>
      <x:c r="G405" s="11" t="str">
        <x:v>Media Control &amp; TikTok</x:v>
      </x:c>
      <x:c r="H405" s="11" t="n">
        <x:v>202412</x:v>
      </x:c>
      <x:c r="I405" s="11" t="str">
        <x:v>Complete</x:v>
      </x:c>
      <x:c r="J405" s="11" t="str">
        <x:v>Yes</x:v>
      </x:c>
    </x:row>
    <x:row r="406">
      <x:c r="A406" s="11" t="str">
        <x:v>2024-12</x:v>
      </x:c>
      <x:c r="B406" s="11" t="n">
        <x:v>18</x:v>
      </x:c>
      <x:c r="C406" s="11" t="str">
        <x:v>Mile High</x:v>
      </x:c>
      <x:c r="D406" s="11" t="str">
        <x:v>Mile High</x:v>
      </x:c>
      <x:c r="E406" s="11" t="str">
        <x:v>Liz Tomforde</x:v>
      </x:c>
      <x:c r="F406" s="11" t="str">
        <x:v>Official #BookTok Top 20</x:v>
      </x:c>
      <x:c r="G406" s="11" t="str">
        <x:v>Media Control &amp; TikTok</x:v>
      </x:c>
      <x:c r="H406" s="11" t="n">
        <x:v>202412</x:v>
      </x:c>
      <x:c r="I406" s="11" t="str">
        <x:v>Complete</x:v>
      </x:c>
      <x:c r="J406" s="11" t="str">
        <x:v>Yes</x:v>
      </x:c>
    </x:row>
    <x:row r="407">
      <x:c r="A407" s="11" t="str">
        <x:v>2024-12</x:v>
      </x:c>
      <x:c r="B407" s="11" t="n">
        <x:v>19</x:v>
      </x:c>
      <x:c r="C407" s="11" t="str">
        <x:v>Wildfire</x:v>
      </x:c>
      <x:c r="D407" s="11" t="str">
        <x:v>Wildfire</x:v>
      </x:c>
      <x:c r="E407" s="11" t="str">
        <x:v>Hannah Grace</x:v>
      </x:c>
      <x:c r="F407" s="11" t="str">
        <x:v>Official #BookTok Top 20</x:v>
      </x:c>
      <x:c r="G407" s="11" t="str">
        <x:v>Media Control &amp; TikTok</x:v>
      </x:c>
      <x:c r="H407" s="11" t="n">
        <x:v>202412</x:v>
      </x:c>
      <x:c r="I407" s="11" t="str">
        <x:v>Complete</x:v>
      </x:c>
      <x:c r="J407" s="11" t="str">
        <x:v>Yes</x:v>
      </x:c>
    </x:row>
    <x:row r="408">
      <x:c r="A408" s="11" t="str">
        <x:v>2024-12</x:v>
      </x:c>
      <x:c r="B408" s="11" t="n">
        <x:v>20</x:v>
      </x:c>
      <x:c r="C408" s="11" t="str">
        <x:v>Corrupt - Dunkle Versuchung</x:v>
      </x:c>
      <x:c r="D408" s="11" t="str">
        <x:v>Corrupt - Dunkle Versuchung</x:v>
      </x:c>
      <x:c r="E408" s="11" t="str">
        <x:v>Penelope Douglas</x:v>
      </x:c>
      <x:c r="F408" s="11" t="str">
        <x:v>Official #BookTok Top 20</x:v>
      </x:c>
      <x:c r="G408" s="11" t="str">
        <x:v>Media Control &amp; TikTok</x:v>
      </x:c>
      <x:c r="H408" s="11" t="n">
        <x:v>202412</x:v>
      </x:c>
      <x:c r="I408" s="11" t="str">
        <x:v>Complete</x:v>
      </x:c>
      <x:c r="J408" s="11" t="str">
        <x:v>Yes</x:v>
      </x:c>
    </x:row>
    <x:row r="409">
      <x:c r="A409" s="11" t="str">
        <x:v>2025-01</x:v>
      </x:c>
      <x:c r="B409" s="11" t="n">
        <x:v>1</x:v>
      </x:c>
      <x:c r="C409" s="11" t="str">
        <x:v>Onyx Storm - Flammengeküsst</x:v>
      </x:c>
      <x:c r="D409" s="11" t="str">
        <x:v>Onyx Storm - Flammengeküsst</x:v>
      </x:c>
      <x:c r="E409" s="11" t="str">
        <x:v>Rebecca Yarros</x:v>
      </x:c>
      <x:c r="F409" s="11" t="str">
        <x:v>Official #BookTok Top 20</x:v>
      </x:c>
      <x:c r="G409" s="11" t="str">
        <x:v>Media Control &amp; TikTok</x:v>
      </x:c>
      <x:c r="H409" s="11" t="n">
        <x:v>202501</x:v>
      </x:c>
      <x:c r="I409" s="11" t="str">
        <x:v>Complete</x:v>
      </x:c>
      <x:c r="J409" s="11" t="str">
        <x:v>Yes</x:v>
      </x:c>
    </x:row>
    <x:row r="410">
      <x:c r="A410" s="11" t="str">
        <x:v>2025-01</x:v>
      </x:c>
      <x:c r="B410" s="11" t="n">
        <x:v>2</x:v>
      </x:c>
      <x:c r="C410" s="11" t="str">
        <x:v>This could be home</x:v>
      </x:c>
      <x:c r="D410" s="11" t="str">
        <x:v>This could be home</x:v>
      </x:c>
      <x:c r="E410" s="11" t="str">
        <x:v>Lilly Lucas</x:v>
      </x:c>
      <x:c r="F410" s="11" t="str">
        <x:v>Official #BookTok Top 20</x:v>
      </x:c>
      <x:c r="G410" s="11" t="str">
        <x:v>Media Control &amp; TikTok</x:v>
      </x:c>
      <x:c r="H410" s="11" t="n">
        <x:v>202501</x:v>
      </x:c>
      <x:c r="I410" s="11" t="str">
        <x:v>Complete</x:v>
      </x:c>
      <x:c r="J410" s="11" t="str">
        <x:v>Yes</x:v>
      </x:c>
    </x:row>
    <x:row r="411">
      <x:c r="A411" s="11" t="str">
        <x:v>2025-01</x:v>
      </x:c>
      <x:c r="B411" s="11" t="n">
        <x:v>3</x:v>
      </x:c>
      <x:c r="C411" s="11" t="str">
        <x:v>Icebreaker</x:v>
      </x:c>
      <x:c r="D411" s="11" t="str">
        <x:v>Icebreaker</x:v>
      </x:c>
      <x:c r="E411" s="11" t="str">
        <x:v>Hannah Grace</x:v>
      </x:c>
      <x:c r="F411" s="11" t="str">
        <x:v>Official #BookTok Top 20</x:v>
      </x:c>
      <x:c r="G411" s="11" t="str">
        <x:v>Media Control &amp; TikTok</x:v>
      </x:c>
      <x:c r="H411" s="11" t="n">
        <x:v>202501</x:v>
      </x:c>
      <x:c r="I411" s="11" t="str">
        <x:v>Complete</x:v>
      </x:c>
      <x:c r="J411" s="11" t="str">
        <x:v>Yes</x:v>
      </x:c>
    </x:row>
    <x:row r="412">
      <x:c r="A412" s="11" t="str">
        <x:v>2025-01</x:v>
      </x:c>
      <x:c r="B412" s="11" t="n">
        <x:v>4</x:v>
      </x:c>
      <x:c r="C412" s="11" t="str">
        <x:v>Fourth Wing - Flammengeküsst</x:v>
      </x:c>
      <x:c r="D412" s="11" t="str">
        <x:v>Fourth Wing - Flammengeküsst</x:v>
      </x:c>
      <x:c r="E412" s="11" t="str">
        <x:v>Rebecca Yarros</x:v>
      </x:c>
      <x:c r="F412" s="11" t="str">
        <x:v>Official #BookTok Top 20</x:v>
      </x:c>
      <x:c r="G412" s="11" t="str">
        <x:v>Media Control &amp; TikTok</x:v>
      </x:c>
      <x:c r="H412" s="11" t="n">
        <x:v>202501</x:v>
      </x:c>
      <x:c r="I412" s="11" t="str">
        <x:v>Complete</x:v>
      </x:c>
      <x:c r="J412" s="11" t="str">
        <x:v>Yes</x:v>
      </x:c>
    </x:row>
    <x:row r="413">
      <x:c r="A413" s="11" t="str">
        <x:v>2025-01</x:v>
      </x:c>
      <x:c r="B413" s="11" t="n">
        <x:v>5</x:v>
      </x:c>
      <x:c r="C413" s="11" t="str">
        <x:v>Culpa Mía - Meine Schuld</x:v>
      </x:c>
      <x:c r="D413" s="11" t="str">
        <x:v>Culpa Mía - Meine Schuld</x:v>
      </x:c>
      <x:c r="E413" s="11" t="str">
        <x:v>Mercedes Ron</x:v>
      </x:c>
      <x:c r="F413" s="11" t="str">
        <x:v>Official #BookTok Top 20</x:v>
      </x:c>
      <x:c r="G413" s="11" t="str">
        <x:v>Media Control &amp; TikTok</x:v>
      </x:c>
      <x:c r="H413" s="11" t="n">
        <x:v>202501</x:v>
      </x:c>
      <x:c r="I413" s="11" t="str">
        <x:v>Complete</x:v>
      </x:c>
      <x:c r="J413" s="11" t="str">
        <x:v>Yes</x:v>
      </x:c>
    </x:row>
    <x:row r="414">
      <x:c r="A414" s="11" t="str">
        <x:v>2025-01</x:v>
      </x:c>
      <x:c r="B414" s="11" t="n">
        <x:v>6</x:v>
      </x:c>
      <x:c r="C414" s="11" t="str">
        <x:v>Twisted Games</x:v>
      </x:c>
      <x:c r="D414" s="11" t="str">
        <x:v>Twisted Games</x:v>
      </x:c>
      <x:c r="E414" s="11" t="str">
        <x:v>Ana Huang</x:v>
      </x:c>
      <x:c r="F414" s="11" t="str">
        <x:v>Official #BookTok Top 20</x:v>
      </x:c>
      <x:c r="G414" s="11" t="str">
        <x:v>Media Control &amp; TikTok</x:v>
      </x:c>
      <x:c r="H414" s="11" t="n">
        <x:v>202501</x:v>
      </x:c>
      <x:c r="I414" s="11" t="str">
        <x:v>Complete</x:v>
      </x:c>
      <x:c r="J414" s="11" t="str">
        <x:v>Yes</x:v>
      </x:c>
    </x:row>
    <x:row r="415">
      <x:c r="A415" s="11" t="str">
        <x:v>2025-01</x:v>
      </x:c>
      <x:c r="B415" s="11" t="n">
        <x:v>7</x:v>
      </x:c>
      <x:c r="C415" s="11" t="str">
        <x:v>Married into Magic: Deal with the Elf King</x:v>
      </x:c>
      <x:c r="D415" s="11" t="str">
        <x:v>Married into Magic: Deal with the Elf King</x:v>
      </x:c>
      <x:c r="E415" s="11" t="str">
        <x:v>Elise Kova</x:v>
      </x:c>
      <x:c r="F415" s="11" t="str">
        <x:v>Official #BookTok Top 20</x:v>
      </x:c>
      <x:c r="G415" s="11" t="str">
        <x:v>Media Control &amp; TikTok</x:v>
      </x:c>
      <x:c r="H415" s="11" t="n">
        <x:v>202501</x:v>
      </x:c>
      <x:c r="I415" s="11" t="str">
        <x:v>Complete</x:v>
      </x:c>
      <x:c r="J415" s="11" t="str">
        <x:v>Yes</x:v>
      </x:c>
    </x:row>
    <x:row r="416">
      <x:c r="A416" s="11" t="str">
        <x:v>2025-01</x:v>
      </x:c>
      <x:c r="B416" s="11" t="n">
        <x:v>8</x:v>
      </x:c>
      <x:c r="C416" s="11" t="str">
        <x:v>Boys of Tommen 4: Redeeming 6</x:v>
      </x:c>
      <x:c r="D416" s="11" t="str">
        <x:v>Boys of Tommen 4: Redeeming 6</x:v>
      </x:c>
      <x:c r="E416" s="11" t="str">
        <x:v>Chloe Walsh</x:v>
      </x:c>
      <x:c r="F416" s="11" t="str">
        <x:v>Official #BookTok Top 20</x:v>
      </x:c>
      <x:c r="G416" s="11" t="str">
        <x:v>Media Control &amp; TikTok</x:v>
      </x:c>
      <x:c r="H416" s="11" t="n">
        <x:v>202501</x:v>
      </x:c>
      <x:c r="I416" s="11" t="str">
        <x:v>Complete</x:v>
      </x:c>
      <x:c r="J416" s="11" t="str">
        <x:v>Yes</x:v>
      </x:c>
    </x:row>
    <x:row r="417">
      <x:c r="A417" s="11" t="str">
        <x:v>2025-01</x:v>
      </x:c>
      <x:c r="B417" s="11" t="n">
        <x:v>9</x:v>
      </x:c>
      <x:c r="C417" s="11" t="str">
        <x:v>Wie die Ruhe vor dem Sturm</x:v>
      </x:c>
      <x:c r="D417" s="11" t="str">
        <x:v>Wie die Ruhe vor dem Sturm</x:v>
      </x:c>
      <x:c r="E417" s="11" t="str">
        <x:v>Brittainy Cherry</x:v>
      </x:c>
      <x:c r="F417" s="11" t="str">
        <x:v>Official #BookTok Top 20</x:v>
      </x:c>
      <x:c r="G417" s="11" t="str">
        <x:v>Media Control &amp; TikTok</x:v>
      </x:c>
      <x:c r="H417" s="11" t="n">
        <x:v>202501</x:v>
      </x:c>
      <x:c r="I417" s="11" t="str">
        <x:v>Complete</x:v>
      </x:c>
      <x:c r="J417" s="11" t="str">
        <x:v>Yes</x:v>
      </x:c>
    </x:row>
    <x:row r="418">
      <x:c r="A418" s="11" t="str">
        <x:v>2025-01</x:v>
      </x:c>
      <x:c r="B418" s="11" t="n">
        <x:v>10</x:v>
      </x:c>
      <x:c r="C418" s="11" t="str">
        <x:v>Wisteria - Die Liebe des Todes</x:v>
      </x:c>
      <x:c r="D418" s="11" t="str">
        <x:v>Wisteria - Die Liebe des Todes</x:v>
      </x:c>
      <x:c r="E418" s="11" t="str">
        <x:v>Adalyn Grace</x:v>
      </x:c>
      <x:c r="F418" s="11" t="str">
        <x:v>Official #BookTok Top 20</x:v>
      </x:c>
      <x:c r="G418" s="11" t="str">
        <x:v>Media Control &amp; TikTok</x:v>
      </x:c>
      <x:c r="H418" s="11" t="n">
        <x:v>202501</x:v>
      </x:c>
      <x:c r="I418" s="11" t="str">
        <x:v>Complete</x:v>
      </x:c>
      <x:c r="J418" s="11" t="str">
        <x:v>Yes</x:v>
      </x:c>
    </x:row>
    <x:row r="419">
      <x:c r="A419" s="11" t="str">
        <x:v>2025-01</x:v>
      </x:c>
      <x:c r="B419" s="11" t="n">
        <x:v>11</x:v>
      </x:c>
      <x:c r="C419" s="11" t="str">
        <x:v>Iron Flame - Flammengeküsst</x:v>
      </x:c>
      <x:c r="D419" s="11" t="str">
        <x:v>Iron Flame - Flammengeküsst</x:v>
      </x:c>
      <x:c r="E419" s="11" t="str">
        <x:v>Rebecca Yarros</x:v>
      </x:c>
      <x:c r="F419" s="11" t="str">
        <x:v>Official #BookTok Top 20</x:v>
      </x:c>
      <x:c r="G419" s="11" t="str">
        <x:v>Media Control &amp; TikTok</x:v>
      </x:c>
      <x:c r="H419" s="11" t="n">
        <x:v>202501</x:v>
      </x:c>
      <x:c r="I419" s="11" t="str">
        <x:v>Complete</x:v>
      </x:c>
      <x:c r="J419" s="11" t="str">
        <x:v>Yes</x:v>
      </x:c>
    </x:row>
    <x:row r="420">
      <x:c r="A420" s="11" t="str">
        <x:v>2025-01</x:v>
      </x:c>
      <x:c r="B420" s="11" t="n">
        <x:v>12</x:v>
      </x:c>
      <x:c r="C420" s="11" t="str">
        <x:v>Verity</x:v>
      </x:c>
      <x:c r="D420" s="11" t="str">
        <x:v>Verity</x:v>
      </x:c>
      <x:c r="E420" s="11" t="str">
        <x:v>Colleen Hoover</x:v>
      </x:c>
      <x:c r="F420" s="11" t="str">
        <x:v>Official #BookTok Top 20</x:v>
      </x:c>
      <x:c r="G420" s="11" t="str">
        <x:v>Media Control &amp; TikTok</x:v>
      </x:c>
      <x:c r="H420" s="11" t="n">
        <x:v>202501</x:v>
      </x:c>
      <x:c r="I420" s="11" t="str">
        <x:v>Complete</x:v>
      </x:c>
      <x:c r="J420" s="11" t="str">
        <x:v>Yes</x:v>
      </x:c>
    </x:row>
    <x:row r="421">
      <x:c r="A421" s="11" t="str">
        <x:v>2025-01</x:v>
      </x:c>
      <x:c r="B421" s="11" t="n">
        <x:v>13</x:v>
      </x:c>
      <x:c r="C421" s="11" t="str">
        <x:v>Culpa Tuya - Deine Schuld</x:v>
      </x:c>
      <x:c r="D421" s="11" t="str">
        <x:v>Culpa Tuya - Deine Schuld</x:v>
      </x:c>
      <x:c r="E421" s="11" t="str">
        <x:v>Mercedes Ron</x:v>
      </x:c>
      <x:c r="F421" s="11" t="str">
        <x:v>Official #BookTok Top 20</x:v>
      </x:c>
      <x:c r="G421" s="11" t="str">
        <x:v>Media Control &amp; TikTok</x:v>
      </x:c>
      <x:c r="H421" s="11" t="n">
        <x:v>202501</x:v>
      </x:c>
      <x:c r="I421" s="11" t="str">
        <x:v>Complete</x:v>
      </x:c>
      <x:c r="J421" s="11" t="str">
        <x:v>Yes</x:v>
      </x:c>
    </x:row>
    <x:row r="422">
      <x:c r="A422" s="11" t="str">
        <x:v>2025-01</x:v>
      </x:c>
      <x:c r="B422" s="11" t="n">
        <x:v>14</x:v>
      </x:c>
      <x:c r="C422" s="11" t="str">
        <x:v>Credence - Sie ist tabu, doch Liebe kennt keine Regeln</x:v>
      </x:c>
      <x:c r="D422" s="11" t="str">
        <x:v>Credence - Sie ist tabu, doch Liebe kennt keine Regeln</x:v>
      </x:c>
      <x:c r="E422" s="11" t="str">
        <x:v>Penelope Douglas</x:v>
      </x:c>
      <x:c r="F422" s="11" t="str">
        <x:v>Official #BookTok Top 20</x:v>
      </x:c>
      <x:c r="G422" s="11" t="str">
        <x:v>Media Control &amp; TikTok</x:v>
      </x:c>
      <x:c r="H422" s="11" t="n">
        <x:v>202501</x:v>
      </x:c>
      <x:c r="I422" s="11" t="str">
        <x:v>Complete</x:v>
      </x:c>
      <x:c r="J422" s="11" t="str">
        <x:v>Yes</x:v>
      </x:c>
    </x:row>
    <x:row r="423">
      <x:c r="A423" s="11" t="str">
        <x:v>2025-01</x:v>
      </x:c>
      <x:c r="B423" s="11" t="n">
        <x:v>15</x:v>
      </x:c>
      <x:c r="C423" s="11" t="str">
        <x:v>Where Autumn Leaves (Festival-Serie 4)</x:v>
      </x:c>
      <x:c r="D423" s="11" t="str">
        <x:v>Where Autumn Leaves (Festival-Serie 4)</x:v>
      </x:c>
      <x:c r="E423" s="11" t="str">
        <x:v>Ivy Leagh</x:v>
      </x:c>
      <x:c r="F423" s="11" t="str">
        <x:v>Official #BookTok Top 20</x:v>
      </x:c>
      <x:c r="G423" s="11" t="str">
        <x:v>Media Control &amp; TikTok</x:v>
      </x:c>
      <x:c r="H423" s="11" t="n">
        <x:v>202501</x:v>
      </x:c>
      <x:c r="I423" s="11" t="str">
        <x:v>Complete</x:v>
      </x:c>
      <x:c r="J423" s="11" t="str">
        <x:v>Yes</x:v>
      </x:c>
    </x:row>
    <x:row r="424">
      <x:c r="A424" s="11" t="str">
        <x:v>2025-01</x:v>
      </x:c>
      <x:c r="B424" s="11" t="n">
        <x:v>16</x:v>
      </x:c>
      <x:c r="C424" s="11" t="str">
        <x:v>Haunting Adeline 01</x:v>
      </x:c>
      <x:c r="D424" s="11" t="str">
        <x:v>Haunting Adeline 01</x:v>
      </x:c>
      <x:c r="E424" s="11" t="str">
        <x:v>H. D. Carlton</x:v>
      </x:c>
      <x:c r="F424" s="11" t="str">
        <x:v>Official #BookTok Top 20</x:v>
      </x:c>
      <x:c r="G424" s="11" t="str">
        <x:v>Media Control &amp; TikTok</x:v>
      </x:c>
      <x:c r="H424" s="11" t="n">
        <x:v>202501</x:v>
      </x:c>
      <x:c r="I424" s="11" t="str">
        <x:v>Complete</x:v>
      </x:c>
      <x:c r="J424" s="11" t="str">
        <x:v>Yes</x:v>
      </x:c>
    </x:row>
    <x:row r="425">
      <x:c r="A425" s="11" t="str">
        <x:v>2025-01</x:v>
      </x:c>
      <x:c r="B425" s="11" t="n">
        <x:v>17</x:v>
      </x:c>
      <x:c r="C425" s="11" t="str">
        <x:v>God of Wrath - Besessene Liebe</x:v>
      </x:c>
      <x:c r="D425" s="11" t="str">
        <x:v>God of Wrath - Besessene Liebe</x:v>
      </x:c>
      <x:c r="E425" s="11" t="str">
        <x:v>Rina Kent</x:v>
      </x:c>
      <x:c r="F425" s="11" t="str">
        <x:v>Official #BookTok Top 20</x:v>
      </x:c>
      <x:c r="G425" s="11" t="str">
        <x:v>Media Control &amp; TikTok</x:v>
      </x:c>
      <x:c r="H425" s="11" t="n">
        <x:v>202501</x:v>
      </x:c>
      <x:c r="I425" s="11" t="str">
        <x:v>Complete</x:v>
      </x:c>
      <x:c r="J425" s="11" t="str">
        <x:v>Yes</x:v>
      </x:c>
    </x:row>
    <x:row r="426">
      <x:c r="A426" s="11" t="str">
        <x:v>2025-01</x:v>
      </x:c>
      <x:c r="B426" s="11" t="n">
        <x:v>18</x:v>
      </x:c>
      <x:c r="C426" s="11" t="str">
        <x:v>The Big Five for Life</x:v>
      </x:c>
      <x:c r="D426" s="11" t="str">
        <x:v>The Big Five for Life</x:v>
      </x:c>
      <x:c r="E426" s="11" t="str">
        <x:v>John Strelecky</x:v>
      </x:c>
      <x:c r="F426" s="11" t="str">
        <x:v>Official #BookTok Top 20</x:v>
      </x:c>
      <x:c r="G426" s="11" t="str">
        <x:v>Media Control &amp; TikTok</x:v>
      </x:c>
      <x:c r="H426" s="11" t="n">
        <x:v>202501</x:v>
      </x:c>
      <x:c r="I426" s="11" t="str">
        <x:v>Complete</x:v>
      </x:c>
      <x:c r="J426" s="11" t="str">
        <x:v>Yes</x:v>
      </x:c>
    </x:row>
    <x:row r="427">
      <x:c r="A427" s="11" t="str">
        <x:v>2025-01</x:v>
      </x:c>
      <x:c r="B427" s="11" t="n">
        <x:v>19</x:v>
      </x:c>
      <x:c r="C427" s="11" t="str">
        <x:v>Boys of Tommen 2: Keeping 13</x:v>
      </x:c>
      <x:c r="D427" s="11" t="str">
        <x:v>Boys of Tommen 2: Keeping 13</x:v>
      </x:c>
      <x:c r="E427" s="11" t="str">
        <x:v>Chloe Walsh</x:v>
      </x:c>
      <x:c r="F427" s="11" t="str">
        <x:v>Official #BookTok Top 20</x:v>
      </x:c>
      <x:c r="G427" s="11" t="str">
        <x:v>Media Control &amp; TikTok</x:v>
      </x:c>
      <x:c r="H427" s="11" t="n">
        <x:v>202501</x:v>
      </x:c>
      <x:c r="I427" s="11" t="str">
        <x:v>Complete</x:v>
      </x:c>
      <x:c r="J427" s="11" t="str">
        <x:v>Yes</x:v>
      </x:c>
    </x:row>
    <x:row r="428">
      <x:c r="A428" s="11" t="str">
        <x:v>2025-01</x:v>
      </x:c>
      <x:c r="B428" s="11" t="n">
        <x:v>20</x:v>
      </x:c>
      <x:c r="C428" s="11" t="str">
        <x:v>Corrupt - Dunkle Versuchung</x:v>
      </x:c>
      <x:c r="D428" s="11" t="str">
        <x:v>Corrupt - Dunkle Versuchung</x:v>
      </x:c>
      <x:c r="E428" s="11" t="str">
        <x:v>Penelope Douglas</x:v>
      </x:c>
      <x:c r="F428" s="11" t="str">
        <x:v>Official #BookTok Top 20</x:v>
      </x:c>
      <x:c r="G428" s="11" t="str">
        <x:v>Media Control &amp; TikTok</x:v>
      </x:c>
      <x:c r="H428" s="11" t="n">
        <x:v>202501</x:v>
      </x:c>
      <x:c r="I428" s="11" t="str">
        <x:v>Complete</x:v>
      </x:c>
      <x:c r="J428" s="11" t="str">
        <x:v>Yes</x:v>
      </x:c>
    </x:row>
    <x:row r="429">
      <x:c r="A429" s="11" t="str">
        <x:v>2025-02</x:v>
      </x:c>
      <x:c r="B429" s="11" t="n">
        <x:v>1</x:v>
      </x:c>
      <x:c r="C429" s="11" t="str">
        <x:v>Onyx Storm - Flammengeküsst</x:v>
      </x:c>
      <x:c r="D429" s="11" t="str">
        <x:v>Onyx Storm - Flammengeküsst</x:v>
      </x:c>
      <x:c r="E429" s="11" t="str">
        <x:v>Rebecca Yarros</x:v>
      </x:c>
      <x:c r="F429" s="11" t="str">
        <x:v>Official #BookTok Top 20</x:v>
      </x:c>
      <x:c r="G429" s="11" t="str">
        <x:v>Media Control &amp; TikTok</x:v>
      </x:c>
      <x:c r="H429" s="11" t="n">
        <x:v>202502</x:v>
      </x:c>
      <x:c r="I429" s="11" t="str">
        <x:v>Complete</x:v>
      </x:c>
      <x:c r="J429" s="11" t="str">
        <x:v>Yes</x:v>
      </x:c>
    </x:row>
    <x:row r="430">
      <x:c r="A430" s="11" t="str">
        <x:v>2025-02</x:v>
      </x:c>
      <x:c r="B430" s="11" t="n">
        <x:v>2</x:v>
      </x:c>
      <x:c r="C430" s="11" t="str">
        <x:v>Fourth Wing - Flammengeküsst (Bonuskapitel)</x:v>
      </x:c>
      <x:c r="D430" s="11" t="str">
        <x:v>Fourth Wing - Flammengeküsst</x:v>
      </x:c>
      <x:c r="E430" s="11" t="str">
        <x:v>Rebecca Yarros</x:v>
      </x:c>
      <x:c r="F430" s="11" t="str">
        <x:v>Official #BookTok Top 20</x:v>
      </x:c>
      <x:c r="G430" s="11" t="str">
        <x:v>Media Control &amp; TikTok</x:v>
      </x:c>
      <x:c r="H430" s="11" t="n">
        <x:v>202502</x:v>
      </x:c>
      <x:c r="I430" s="11" t="str">
        <x:v>Complete</x:v>
      </x:c>
      <x:c r="J430" s="11" t="str">
        <x:v>Yes</x:v>
      </x:c>
    </x:row>
    <x:row r="431">
      <x:c r="A431" s="11" t="str">
        <x:v>2025-02</x:v>
      </x:c>
      <x:c r="B431" s="11" t="n">
        <x:v>3</x:v>
      </x:c>
      <x:c r="C431" s="11" t="str">
        <x:v>Culpa Mía - Meine Schuld</x:v>
      </x:c>
      <x:c r="D431" s="11" t="str">
        <x:v>Culpa Mía - Meine Schuld</x:v>
      </x:c>
      <x:c r="E431" s="11" t="str">
        <x:v>Mercedes Ron</x:v>
      </x:c>
      <x:c r="F431" s="11" t="str">
        <x:v>Official #BookTok Top 20</x:v>
      </x:c>
      <x:c r="G431" s="11" t="str">
        <x:v>Media Control &amp; TikTok</x:v>
      </x:c>
      <x:c r="H431" s="11" t="n">
        <x:v>202502</x:v>
      </x:c>
      <x:c r="I431" s="11" t="str">
        <x:v>Complete</x:v>
      </x:c>
      <x:c r="J431" s="11" t="str">
        <x:v>Yes</x:v>
      </x:c>
    </x:row>
    <x:row r="432">
      <x:c r="A432" s="11" t="str">
        <x:v>2025-02</x:v>
      </x:c>
      <x:c r="B432" s="11" t="n">
        <x:v>4</x:v>
      </x:c>
      <x:c r="C432" s="11" t="str">
        <x:v>Credence - Sie ist tabu, doch Liebe kennt keine Regeln</x:v>
      </x:c>
      <x:c r="D432" s="11" t="str">
        <x:v>Credence - Sie ist tabu, doch Liebe kennt keine Regeln</x:v>
      </x:c>
      <x:c r="E432" s="11" t="str">
        <x:v>Penelope Douglas</x:v>
      </x:c>
      <x:c r="F432" s="11" t="str">
        <x:v>Official #BookTok Top 20</x:v>
      </x:c>
      <x:c r="G432" s="11" t="str">
        <x:v>Media Control &amp; TikTok</x:v>
      </x:c>
      <x:c r="H432" s="11" t="n">
        <x:v>202502</x:v>
      </x:c>
      <x:c r="I432" s="11" t="str">
        <x:v>Complete</x:v>
      </x:c>
      <x:c r="J432" s="11" t="str">
        <x:v>Yes</x:v>
      </x:c>
    </x:row>
    <x:row r="433">
      <x:c r="A433" s="11" t="str">
        <x:v>2025-02</x:v>
      </x:c>
      <x:c r="B433" s="11" t="n">
        <x:v>5</x:v>
      </x:c>
      <x:c r="C433" s="11" t="str">
        <x:v>Icebreaker</x:v>
      </x:c>
      <x:c r="D433" s="11" t="str">
        <x:v>Icebreaker</x:v>
      </x:c>
      <x:c r="E433" s="11" t="str">
        <x:v>Hannah Grace</x:v>
      </x:c>
      <x:c r="F433" s="11" t="str">
        <x:v>Official #BookTok Top 20</x:v>
      </x:c>
      <x:c r="G433" s="11" t="str">
        <x:v>Media Control &amp; TikTok</x:v>
      </x:c>
      <x:c r="H433" s="11" t="n">
        <x:v>202502</x:v>
      </x:c>
      <x:c r="I433" s="11" t="str">
        <x:v>Complete</x:v>
      </x:c>
      <x:c r="J433" s="11" t="str">
        <x:v>Yes</x:v>
      </x:c>
    </x:row>
    <x:row r="434">
      <x:c r="A434" s="11" t="str">
        <x:v>2025-02</x:v>
      </x:c>
      <x:c r="B434" s="11" t="n">
        <x:v>6</x:v>
      </x:c>
      <x:c r="C434" s="11" t="str">
        <x:v>Nur noch ein einziges Mal</x:v>
      </x:c>
      <x:c r="D434" s="11" t="str">
        <x:v>Nur noch ein einziges Mal</x:v>
      </x:c>
      <x:c r="E434" s="11" t="str">
        <x:v>Colleen Hoover</x:v>
      </x:c>
      <x:c r="F434" s="11" t="str">
        <x:v>Official #BookTok Top 20</x:v>
      </x:c>
      <x:c r="G434" s="11" t="str">
        <x:v>Media Control &amp; TikTok</x:v>
      </x:c>
      <x:c r="H434" s="11" t="n">
        <x:v>202502</x:v>
      </x:c>
      <x:c r="I434" s="11" t="str">
        <x:v>Complete</x:v>
      </x:c>
      <x:c r="J434" s="11" t="str">
        <x:v>Yes</x:v>
      </x:c>
    </x:row>
    <x:row r="435">
      <x:c r="A435" s="11" t="str">
        <x:v>2025-02</x:v>
      </x:c>
      <x:c r="B435" s="11" t="n">
        <x:v>7</x:v>
      </x:c>
      <x:c r="C435" s="11" t="str">
        <x:v>Iron Flame - Flammengeküsst</x:v>
      </x:c>
      <x:c r="D435" s="11" t="str">
        <x:v>Iron Flame - Flammengeküsst</x:v>
      </x:c>
      <x:c r="E435" s="11" t="str">
        <x:v>Rebecca Yarros</x:v>
      </x:c>
      <x:c r="F435" s="11" t="str">
        <x:v>Official #BookTok Top 20</x:v>
      </x:c>
      <x:c r="G435" s="11" t="str">
        <x:v>Media Control &amp; TikTok</x:v>
      </x:c>
      <x:c r="H435" s="11" t="n">
        <x:v>202502</x:v>
      </x:c>
      <x:c r="I435" s="11" t="str">
        <x:v>Complete</x:v>
      </x:c>
      <x:c r="J435" s="11" t="str">
        <x:v>Yes</x:v>
      </x:c>
    </x:row>
    <x:row r="436">
      <x:c r="A436" s="11" t="str">
        <x:v>2025-02</x:v>
      </x:c>
      <x:c r="B436" s="11" t="n">
        <x:v>8</x:v>
      </x:c>
      <x:c r="C436" s="11" t="str">
        <x:v>Deep End - Die unausweichliche Unanständigkeit von Liebe</x:v>
      </x:c>
      <x:c r="D436" s="11" t="str">
        <x:v>Deep End - Die unausweichliche Unanständigkeit von Liebe</x:v>
      </x:c>
      <x:c r="E436" s="11" t="str">
        <x:v>Ali Hazelwood</x:v>
      </x:c>
      <x:c r="F436" s="11" t="str">
        <x:v>Official #BookTok Top 20</x:v>
      </x:c>
      <x:c r="G436" s="11" t="str">
        <x:v>Media Control &amp; TikTok</x:v>
      </x:c>
      <x:c r="H436" s="11" t="n">
        <x:v>202502</x:v>
      </x:c>
      <x:c r="I436" s="11" t="str">
        <x:v>Complete</x:v>
      </x:c>
      <x:c r="J436" s="11" t="str">
        <x:v>Yes</x:v>
      </x:c>
    </x:row>
    <x:row r="437">
      <x:c r="A437" s="11" t="str">
        <x:v>2025-02</x:v>
      </x:c>
      <x:c r="B437" s="11" t="n">
        <x:v>9</x:v>
      </x:c>
      <x:c r="C437" s="11" t="str">
        <x:v>A Million Stars Above</x:v>
      </x:c>
      <x:c r="D437" s="11" t="str">
        <x:v>A Million Stars Above</x:v>
      </x:c>
      <x:c r="E437" s="11" t="str">
        <x:v>Ayla Dade</x:v>
      </x:c>
      <x:c r="F437" s="11" t="str">
        <x:v>Official #BookTok Top 20</x:v>
      </x:c>
      <x:c r="G437" s="11" t="str">
        <x:v>Media Control &amp; TikTok</x:v>
      </x:c>
      <x:c r="H437" s="11" t="n">
        <x:v>202502</x:v>
      </x:c>
      <x:c r="I437" s="11" t="str">
        <x:v>Complete</x:v>
      </x:c>
      <x:c r="J437" s="11" t="str">
        <x:v>Yes</x:v>
      </x:c>
    </x:row>
    <x:row r="438">
      <x:c r="A438" s="11" t="str">
        <x:v>2025-02</x:v>
      </x:c>
      <x:c r="B438" s="11" t="n">
        <x:v>10</x:v>
      </x:c>
      <x:c r="C438" s="11" t="str">
        <x:v>BAD VIBES. Deine Geheimnisse sterben nie</x:v>
      </x:c>
      <x:c r="D438" s="11" t="str">
        <x:v>BAD VIBES. Deine Geheimnisse sterben nie</x:v>
      </x:c>
      <x:c r="E438" s="11" t="str">
        <x:v>Bianca Iosivoni</x:v>
      </x:c>
      <x:c r="F438" s="11" t="str">
        <x:v>Official #BookTok Top 20</x:v>
      </x:c>
      <x:c r="G438" s="11" t="str">
        <x:v>Media Control &amp; TikTok</x:v>
      </x:c>
      <x:c r="H438" s="11" t="n">
        <x:v>202502</x:v>
      </x:c>
      <x:c r="I438" s="11" t="str">
        <x:v>Complete</x:v>
      </x:c>
      <x:c r="J438" s="11" t="str">
        <x:v>Yes</x:v>
      </x:c>
    </x:row>
    <x:row r="439">
      <x:c r="A439" s="11" t="str">
        <x:v>2025-02</x:v>
      </x:c>
      <x:c r="B439" s="11" t="n">
        <x:v>11</x:v>
      </x:c>
      <x:c r="C439" s="11" t="str">
        <x:v>Culpa Tuya - Deine Schuld</x:v>
      </x:c>
      <x:c r="D439" s="11" t="str">
        <x:v>Culpa Tuya - Deine Schuld</x:v>
      </x:c>
      <x:c r="E439" s="11" t="str">
        <x:v>Mercedes Ron</x:v>
      </x:c>
      <x:c r="F439" s="11" t="str">
        <x:v>Official #BookTok Top 20</x:v>
      </x:c>
      <x:c r="G439" s="11" t="str">
        <x:v>Media Control &amp; TikTok</x:v>
      </x:c>
      <x:c r="H439" s="11" t="n">
        <x:v>202502</x:v>
      </x:c>
      <x:c r="I439" s="11" t="str">
        <x:v>Complete</x:v>
      </x:c>
      <x:c r="J439" s="11" t="str">
        <x:v>Yes</x:v>
      </x:c>
    </x:row>
    <x:row r="440">
      <x:c r="A440" s="11" t="str">
        <x:v>2025-02</x:v>
      </x:c>
      <x:c r="B440" s="11" t="n">
        <x:v>12</x:v>
      </x:c>
      <x:c r="C440" s="11" t="str">
        <x:v>Vergissmeinnicht - Was die Welt zusammenhält</x:v>
      </x:c>
      <x:c r="D440" s="11" t="str">
        <x:v>Vergissmeinnicht - Was die Welt zusammenhält</x:v>
      </x:c>
      <x:c r="E440" s="11" t="str">
        <x:v>Kerstin Gier</x:v>
      </x:c>
      <x:c r="F440" s="11" t="str">
        <x:v>Official #BookTok Top 20</x:v>
      </x:c>
      <x:c r="G440" s="11" t="str">
        <x:v>Media Control &amp; TikTok</x:v>
      </x:c>
      <x:c r="H440" s="11" t="n">
        <x:v>202502</x:v>
      </x:c>
      <x:c r="I440" s="11" t="str">
        <x:v>Complete</x:v>
      </x:c>
      <x:c r="J440" s="11" t="str">
        <x:v>Yes</x:v>
      </x:c>
    </x:row>
    <x:row r="441">
      <x:c r="A441" s="11" t="str">
        <x:v>2025-02</x:v>
      </x:c>
      <x:c r="B441" s="11" t="n">
        <x:v>13</x:v>
      </x:c>
      <x:c r="C441" s="11" t="str">
        <x:v>Boys of Tommen 4: Redeeming 6</x:v>
      </x:c>
      <x:c r="D441" s="11" t="str">
        <x:v>Boys of Tommen 4: Redeeming 6</x:v>
      </x:c>
      <x:c r="E441" s="11" t="str">
        <x:v>Chloe Walsh</x:v>
      </x:c>
      <x:c r="F441" s="11" t="str">
        <x:v>Official #BookTok Top 20</x:v>
      </x:c>
      <x:c r="G441" s="11" t="str">
        <x:v>Media Control &amp; TikTok</x:v>
      </x:c>
      <x:c r="H441" s="11" t="n">
        <x:v>202502</x:v>
      </x:c>
      <x:c r="I441" s="11" t="str">
        <x:v>Complete</x:v>
      </x:c>
      <x:c r="J441" s="11" t="str">
        <x:v>Yes</x:v>
      </x:c>
    </x:row>
    <x:row r="442">
      <x:c r="A442" s="11" t="str">
        <x:v>2025-02</x:v>
      </x:c>
      <x:c r="B442" s="11" t="n">
        <x:v>14</x:v>
      </x:c>
      <x:c r="C442" s="11" t="str">
        <x:v>Tausend Splitter zu dir - Based on Lena’s True Story</x:v>
      </x:c>
      <x:c r="D442" s="11" t="str">
        <x:v>Tausend Splitter zu dir - Based on Lena’s True Story</x:v>
      </x:c>
      <x:c r="E442" s="11" t="str">
        <x:v>Antonia Wesseling</x:v>
      </x:c>
      <x:c r="F442" s="11" t="str">
        <x:v>Official #BookTok Top 20</x:v>
      </x:c>
      <x:c r="G442" s="11" t="str">
        <x:v>Media Control &amp; TikTok</x:v>
      </x:c>
      <x:c r="H442" s="11" t="n">
        <x:v>202502</x:v>
      </x:c>
      <x:c r="I442" s="11" t="str">
        <x:v>Complete</x:v>
      </x:c>
      <x:c r="J442" s="11" t="str">
        <x:v>Yes</x:v>
      </x:c>
    </x:row>
    <x:row r="443">
      <x:c r="A443" s="11" t="str">
        <x:v>2025-02</x:v>
      </x:c>
      <x:c r="B443" s="11" t="n">
        <x:v>15</x:v>
      </x:c>
      <x:c r="C443" s="11" t="str">
        <x:v>Fearless</x:v>
      </x:c>
      <x:c r="D443" s="11" t="str">
        <x:v>Fearless</x:v>
      </x:c>
      <x:c r="E443" s="11" t="str">
        <x:v>Elsie Silver</x:v>
      </x:c>
      <x:c r="F443" s="11" t="str">
        <x:v>Official #BookTok Top 20</x:v>
      </x:c>
      <x:c r="G443" s="11" t="str">
        <x:v>Media Control &amp; TikTok</x:v>
      </x:c>
      <x:c r="H443" s="11" t="n">
        <x:v>202502</x:v>
      </x:c>
      <x:c r="I443" s="11" t="str">
        <x:v>Complete</x:v>
      </x:c>
      <x:c r="J443" s="11" t="str">
        <x:v>Yes</x:v>
      </x:c>
    </x:row>
    <x:row r="444">
      <x:c r="A444" s="11" t="str">
        <x:v>2025-02</x:v>
      </x:c>
      <x:c r="B444" s="11" t="n">
        <x:v>16</x:v>
      </x:c>
      <x:c r="C444" s="11" t="str">
        <x:v>Das Reich der sieben Höfe - Dornen und Rosen</x:v>
      </x:c>
      <x:c r="D444" s="11" t="str">
        <x:v>Das Reich der sieben Höfe - Dornen und Rosen</x:v>
      </x:c>
      <x:c r="E444" s="11" t="str">
        <x:v>Sarah J. Maas</x:v>
      </x:c>
      <x:c r="F444" s="11" t="str">
        <x:v>Official #BookTok Top 20</x:v>
      </x:c>
      <x:c r="G444" s="11" t="str">
        <x:v>Media Control &amp; TikTok</x:v>
      </x:c>
      <x:c r="H444" s="11" t="n">
        <x:v>202502</x:v>
      </x:c>
      <x:c r="I444" s="11" t="str">
        <x:v>Complete</x:v>
      </x:c>
      <x:c r="J444" s="11" t="str">
        <x:v>Yes</x:v>
      </x:c>
    </x:row>
    <x:row r="445">
      <x:c r="A445" s="11" t="str">
        <x:v>2025-02</x:v>
      </x:c>
      <x:c r="B445" s="11" t="n">
        <x:v>17</x:v>
      </x:c>
      <x:c r="C445" s="11" t="str">
        <x:v>A Good Girl's Guide to Murder</x:v>
      </x:c>
      <x:c r="D445" s="11" t="str">
        <x:v>A Good Girl's Guide to Murder</x:v>
      </x:c>
      <x:c r="E445" s="11" t="str">
        <x:v>Holly Jackson</x:v>
      </x:c>
      <x:c r="F445" s="11" t="str">
        <x:v>Official #BookTok Top 20</x:v>
      </x:c>
      <x:c r="G445" s="11" t="str">
        <x:v>Media Control &amp; TikTok</x:v>
      </x:c>
      <x:c r="H445" s="11" t="n">
        <x:v>202502</x:v>
      </x:c>
      <x:c r="I445" s="11" t="str">
        <x:v>Complete</x:v>
      </x:c>
      <x:c r="J445" s="11" t="str">
        <x:v>Yes</x:v>
      </x:c>
    </x:row>
    <x:row r="446">
      <x:c r="A446" s="11" t="str">
        <x:v>2025-02</x:v>
      </x:c>
      <x:c r="B446" s="11" t="n">
        <x:v>18</x:v>
      </x:c>
      <x:c r="C446" s="11" t="str">
        <x:v>The Big Five for Life</x:v>
      </x:c>
      <x:c r="D446" s="11" t="str">
        <x:v>The Big Five for Life</x:v>
      </x:c>
      <x:c r="E446" s="11" t="str">
        <x:v>John Strelecky</x:v>
      </x:c>
      <x:c r="F446" s="11" t="str">
        <x:v>Official #BookTok Top 20</x:v>
      </x:c>
      <x:c r="G446" s="11" t="str">
        <x:v>Media Control &amp; TikTok</x:v>
      </x:c>
      <x:c r="H446" s="11" t="n">
        <x:v>202502</x:v>
      </x:c>
      <x:c r="I446" s="11" t="str">
        <x:v>Complete</x:v>
      </x:c>
      <x:c r="J446" s="11" t="str">
        <x:v>Yes</x:v>
      </x:c>
    </x:row>
    <x:row r="447">
      <x:c r="A447" s="11" t="str">
        <x:v>2025-02</x:v>
      </x:c>
      <x:c r="B447" s="11" t="n">
        <x:v>19</x:v>
      </x:c>
      <x:c r="C447" s="11" t="str">
        <x:v>Wisteria - Die Liebe des Todes</x:v>
      </x:c>
      <x:c r="D447" s="11" t="str">
        <x:v>Wisteria - Die Liebe des Todes</x:v>
      </x:c>
      <x:c r="E447" s="11" t="str">
        <x:v>Adalyn Grace</x:v>
      </x:c>
      <x:c r="F447" s="11" t="str">
        <x:v>Official #BookTok Top 20</x:v>
      </x:c>
      <x:c r="G447" s="11" t="str">
        <x:v>Media Control &amp; TikTok</x:v>
      </x:c>
      <x:c r="H447" s="11" t="n">
        <x:v>202502</x:v>
      </x:c>
      <x:c r="I447" s="11" t="str">
        <x:v>Complete</x:v>
      </x:c>
      <x:c r="J447" s="11" t="str">
        <x:v>Yes</x:v>
      </x:c>
    </x:row>
    <x:row r="448">
      <x:c r="A448" s="11" t="str">
        <x:v>2025-02</x:v>
      </x:c>
      <x:c r="B448" s="11" t="n">
        <x:v>20</x:v>
      </x:c>
      <x:c r="C448" s="11" t="str">
        <x:v>The First to Fall</x:v>
      </x:c>
      <x:c r="D448" s="11" t="str">
        <x:v>The First to Fall</x:v>
      </x:c>
      <x:c r="E448" s="11" t="str">
        <x:v>Kristina Moninger</x:v>
      </x:c>
      <x:c r="F448" s="11" t="str">
        <x:v>Official #BookTok Top 20</x:v>
      </x:c>
      <x:c r="G448" s="11" t="str">
        <x:v>Media Control &amp; TikTok</x:v>
      </x:c>
      <x:c r="H448" s="11" t="n">
        <x:v>202502</x:v>
      </x:c>
      <x:c r="I448" s="11" t="str">
        <x:v>Complete</x:v>
      </x:c>
      <x:c r="J448" s="11" t="str">
        <x:v>Yes</x:v>
      </x:c>
    </x:row>
    <x:row r="449">
      <x:c r="A449" s="11" t="str">
        <x:v>2025-03</x:v>
      </x:c>
      <x:c r="B449" s="11" t="n">
        <x:v>1</x:v>
      </x:c>
      <x:c r="C449" s="11" t="str">
        <x:v>Die Tribute von Panem L. Der Tag bricht an</x:v>
      </x:c>
      <x:c r="D449" s="11" t="str">
        <x:v>Die Tribute von Panem L. Der Tag bricht an</x:v>
      </x:c>
      <x:c r="E449" s="11" t="str">
        <x:v>Suzanne Collins</x:v>
      </x:c>
      <x:c r="F449" s="11" t="str">
        <x:v>Official #BookTok Top 20</x:v>
      </x:c>
      <x:c r="G449" s="11" t="str">
        <x:v>Media Control &amp; TikTok</x:v>
      </x:c>
      <x:c r="H449" s="11" t="n">
        <x:v>202503</x:v>
      </x:c>
      <x:c r="I449" s="11" t="str">
        <x:v>Complete</x:v>
      </x:c>
      <x:c r="J449" s="11" t="str">
        <x:v>Yes</x:v>
      </x:c>
    </x:row>
    <x:row r="450">
      <x:c r="A450" s="11" t="str">
        <x:v>2025-03</x:v>
      </x:c>
      <x:c r="B450" s="11" t="n">
        <x:v>2</x:v>
      </x:c>
      <x:c r="C450" s="11" t="str">
        <x:v>»Mama, bitte lern Deutsch«</x:v>
      </x:c>
      <x:c r="D450" s="11" t="str">
        <x:v>»Mama, bitte lern Deutsch«</x:v>
      </x:c>
      <x:c r="E450" s="11" t="str">
        <x:v>Tahsim Durgun</x:v>
      </x:c>
      <x:c r="F450" s="11" t="str">
        <x:v>Official #BookTok Top 20</x:v>
      </x:c>
      <x:c r="G450" s="11" t="str">
        <x:v>Media Control &amp; TikTok</x:v>
      </x:c>
      <x:c r="H450" s="11" t="n">
        <x:v>202503</x:v>
      </x:c>
      <x:c r="I450" s="11" t="str">
        <x:v>Complete</x:v>
      </x:c>
      <x:c r="J450" s="11" t="str">
        <x:v>Yes</x:v>
      </x:c>
    </x:row>
    <x:row r="451">
      <x:c r="A451" s="11" t="str">
        <x:v>2025-03</x:v>
      </x:c>
      <x:c r="B451" s="11" t="n">
        <x:v>3</x:v>
      </x:c>
      <x:c r="C451" s="11" t="str">
        <x:v>Frankie</x:v>
      </x:c>
      <x:c r="D451" s="11" t="str">
        <x:v>Frankie</x:v>
      </x:c>
      <x:c r="E451" s="11" t="str">
        <x:v>Jochen Gutsch, Maxim Leo</x:v>
      </x:c>
      <x:c r="F451" s="11" t="str">
        <x:v>Official #BookTok Top 20</x:v>
      </x:c>
      <x:c r="G451" s="11" t="str">
        <x:v>Media Control &amp; TikTok</x:v>
      </x:c>
      <x:c r="H451" s="11" t="n">
        <x:v>202503</x:v>
      </x:c>
      <x:c r="I451" s="11" t="str">
        <x:v>Complete</x:v>
      </x:c>
      <x:c r="J451" s="11" t="str">
        <x:v>Yes</x:v>
      </x:c>
    </x:row>
    <x:row r="452">
      <x:c r="A452" s="11" t="str">
        <x:v>2025-03</x:v>
      </x:c>
      <x:c r="B452" s="11" t="n">
        <x:v>4</x:v>
      </x:c>
      <x:c r="C452" s="11" t="str">
        <x:v>Ikigai</x:v>
      </x:c>
      <x:c r="D452" s="11" t="str">
        <x:v>Ikigai</x:v>
      </x:c>
      <x:c r="E452" s="11" t="str">
        <x:v>Ken Mogi</x:v>
      </x:c>
      <x:c r="F452" s="11" t="str">
        <x:v>Official #BookTok Top 20</x:v>
      </x:c>
      <x:c r="G452" s="11" t="str">
        <x:v>Media Control &amp; TikTok</x:v>
      </x:c>
      <x:c r="H452" s="11" t="n">
        <x:v>202503</x:v>
      </x:c>
      <x:c r="I452" s="11" t="str">
        <x:v>Complete</x:v>
      </x:c>
      <x:c r="J452" s="11" t="str">
        <x:v>Yes</x:v>
      </x:c>
    </x:row>
    <x:row r="453">
      <x:c r="A453" s="11" t="str">
        <x:v>2025-03</x:v>
      </x:c>
      <x:c r="B453" s="11" t="n">
        <x:v>5</x:v>
      </x:c>
      <x:c r="C453" s="11" t="str">
        <x:v>Das Kind in dir muss Heimat finden</x:v>
      </x:c>
      <x:c r="D453" s="11" t="str">
        <x:v>Das Kind in dir muss Heimat finden</x:v>
      </x:c>
      <x:c r="E453" s="11" t="str">
        <x:v>Stefanie Stahl</x:v>
      </x:c>
      <x:c r="F453" s="11" t="str">
        <x:v>Official #BookTok Top 20</x:v>
      </x:c>
      <x:c r="G453" s="11" t="str">
        <x:v>Media Control &amp; TikTok</x:v>
      </x:c>
      <x:c r="H453" s="11" t="n">
        <x:v>202503</x:v>
      </x:c>
      <x:c r="I453" s="11" t="str">
        <x:v>Complete</x:v>
      </x:c>
      <x:c r="J453" s="11" t="str">
        <x:v>Yes</x:v>
      </x:c>
    </x:row>
    <x:row r="454">
      <x:c r="A454" s="11" t="str">
        <x:v>2025-03</x:v>
      </x:c>
      <x:c r="B454" s="11" t="n">
        <x:v>6</x:v>
      </x:c>
      <x:c r="C454" s="11" t="str">
        <x:v>Fourth Wing - Flammengeküsst (Bonuskapitel)</x:v>
      </x:c>
      <x:c r="D454" s="11" t="str">
        <x:v>Fourth Wing - Flammengeküsst</x:v>
      </x:c>
      <x:c r="E454" s="11" t="str">
        <x:v>Rebecca Yarros</x:v>
      </x:c>
      <x:c r="F454" s="11" t="str">
        <x:v>Official #BookTok Top 20</x:v>
      </x:c>
      <x:c r="G454" s="11" t="str">
        <x:v>Media Control &amp; TikTok</x:v>
      </x:c>
      <x:c r="H454" s="11" t="n">
        <x:v>202503</x:v>
      </x:c>
      <x:c r="I454" s="11" t="str">
        <x:v>Complete</x:v>
      </x:c>
      <x:c r="J454" s="11" t="str">
        <x:v>Yes</x:v>
      </x:c>
    </x:row>
    <x:row r="455">
      <x:c r="A455" s="11" t="str">
        <x:v>2025-03</x:v>
      </x:c>
      <x:c r="B455" s="11" t="n">
        <x:v>7</x:v>
      </x:c>
      <x:c r="C455" s="11" t="str">
        <x:v>Culpa Nuestra - Unsere Schuld</x:v>
      </x:c>
      <x:c r="D455" s="11" t="str">
        <x:v>Culpa Nuestra - Unsere Schuld</x:v>
      </x:c>
      <x:c r="E455" s="11" t="str">
        <x:v>Mercedes Ron</x:v>
      </x:c>
      <x:c r="F455" s="11" t="str">
        <x:v>Official #BookTok Top 20</x:v>
      </x:c>
      <x:c r="G455" s="11" t="str">
        <x:v>Media Control &amp; TikTok</x:v>
      </x:c>
      <x:c r="H455" s="11" t="n">
        <x:v>202503</x:v>
      </x:c>
      <x:c r="I455" s="11" t="str">
        <x:v>Complete</x:v>
      </x:c>
      <x:c r="J455" s="11" t="str">
        <x:v>Yes</x:v>
      </x:c>
    </x:row>
    <x:row r="456">
      <x:c r="A456" s="11" t="str">
        <x:v>2025-03</x:v>
      </x:c>
      <x:c r="B456" s="11" t="n">
        <x:v>8</x:v>
      </x:c>
      <x:c r="C456" s="11" t="str">
        <x:v>Icebreaker</x:v>
      </x:c>
      <x:c r="D456" s="11" t="str">
        <x:v>Icebreaker</x:v>
      </x:c>
      <x:c r="E456" s="11" t="str">
        <x:v>Hannah Grace</x:v>
      </x:c>
      <x:c r="F456" s="11" t="str">
        <x:v>Official #BookTok Top 20</x:v>
      </x:c>
      <x:c r="G456" s="11" t="str">
        <x:v>Media Control &amp; TikTok</x:v>
      </x:c>
      <x:c r="H456" s="11" t="n">
        <x:v>202503</x:v>
      </x:c>
      <x:c r="I456" s="11" t="str">
        <x:v>Complete</x:v>
      </x:c>
      <x:c r="J456" s="11" t="str">
        <x:v>Yes</x:v>
      </x:c>
    </x:row>
    <x:row r="457">
      <x:c r="A457" s="11" t="str">
        <x:v>2025-03</x:v>
      </x:c>
      <x:c r="B457" s="11" t="n">
        <x:v>9</x:v>
      </x:c>
      <x:c r="C457" s="11" t="str">
        <x:v>Culpa Mía - Meine Schuld</x:v>
      </x:c>
      <x:c r="D457" s="11" t="str">
        <x:v>Culpa Mía - Meine Schuld</x:v>
      </x:c>
      <x:c r="E457" s="11" t="str">
        <x:v>Mercedes Ron</x:v>
      </x:c>
      <x:c r="F457" s="11" t="str">
        <x:v>Official #BookTok Top 20</x:v>
      </x:c>
      <x:c r="G457" s="11" t="str">
        <x:v>Media Control &amp; TikTok</x:v>
      </x:c>
      <x:c r="H457" s="11" t="n">
        <x:v>202503</x:v>
      </x:c>
      <x:c r="I457" s="11" t="str">
        <x:v>Complete</x:v>
      </x:c>
      <x:c r="J457" s="11" t="str">
        <x:v>Yes</x:v>
      </x:c>
    </x:row>
    <x:row r="458">
      <x:c r="A458" s="11" t="str">
        <x:v>2025-03</x:v>
      </x:c>
      <x:c r="B458" s="11" t="n">
        <x:v>10</x:v>
      </x:c>
      <x:c r="C458" s="11" t="str">
        <x:v>Onyx Storm - Flammengeküsst</x:v>
      </x:c>
      <x:c r="D458" s="11" t="str">
        <x:v>Onyx Storm - Flammengeküsst</x:v>
      </x:c>
      <x:c r="E458" s="11" t="str">
        <x:v>Rebecca Yarros</x:v>
      </x:c>
      <x:c r="F458" s="11" t="str">
        <x:v>Official #BookTok Top 20</x:v>
      </x:c>
      <x:c r="G458" s="11" t="str">
        <x:v>Media Control &amp; TikTok</x:v>
      </x:c>
      <x:c r="H458" s="11" t="n">
        <x:v>202503</x:v>
      </x:c>
      <x:c r="I458" s="11" t="str">
        <x:v>Complete</x:v>
      </x:c>
      <x:c r="J458" s="11" t="str">
        <x:v>Yes</x:v>
      </x:c>
    </x:row>
    <x:row r="459">
      <x:c r="A459" s="11" t="str">
        <x:v>2025-03</x:v>
      </x:c>
      <x:c r="B459" s="11" t="n">
        <x:v>11</x:v>
      </x:c>
      <x:c r="C459" s="11" t="str">
        <x:v>Throne of Glass - Die Erwählte</x:v>
      </x:c>
      <x:c r="D459" s="11" t="str">
        <x:v>Throne of Glass - Die Erwählte</x:v>
      </x:c>
      <x:c r="E459" s="11" t="str">
        <x:v>Sarah J. Maas</x:v>
      </x:c>
      <x:c r="F459" s="11" t="str">
        <x:v>Official #BookTok Top 20</x:v>
      </x:c>
      <x:c r="G459" s="11" t="str">
        <x:v>Media Control &amp; TikTok</x:v>
      </x:c>
      <x:c r="H459" s="11" t="n">
        <x:v>202503</x:v>
      </x:c>
      <x:c r="I459" s="11" t="str">
        <x:v>Complete</x:v>
      </x:c>
      <x:c r="J459" s="11" t="str">
        <x:v>Yes</x:v>
      </x:c>
    </x:row>
    <x:row r="460">
      <x:c r="A460" s="11" t="str">
        <x:v>2025-03</x:v>
      </x:c>
      <x:c r="B460" s="11" t="n">
        <x:v>12</x:v>
      </x:c>
      <x:c r="C460" s="11" t="str">
        <x:v>Verity</x:v>
      </x:c>
      <x:c r="D460" s="11" t="str">
        <x:v>Verity</x:v>
      </x:c>
      <x:c r="E460" s="11" t="str">
        <x:v>Colleen Hoover</x:v>
      </x:c>
      <x:c r="F460" s="11" t="str">
        <x:v>Official #BookTok Top 20</x:v>
      </x:c>
      <x:c r="G460" s="11" t="str">
        <x:v>Media Control &amp; TikTok</x:v>
      </x:c>
      <x:c r="H460" s="11" t="n">
        <x:v>202503</x:v>
      </x:c>
      <x:c r="I460" s="11" t="str">
        <x:v>Complete</x:v>
      </x:c>
      <x:c r="J460" s="11" t="str">
        <x:v>Yes</x:v>
      </x:c>
    </x:row>
    <x:row r="461">
      <x:c r="A461" s="11" t="str">
        <x:v>2025-03</x:v>
      </x:c>
      <x:c r="B461" s="11" t="n">
        <x:v>13</x:v>
      </x:c>
      <x:c r="C461" s="11" t="str">
        <x:v>Iron Flame - Flammengeküsst</x:v>
      </x:c>
      <x:c r="D461" s="11" t="str">
        <x:v>Iron Flame - Flammengeküsst</x:v>
      </x:c>
      <x:c r="E461" s="11" t="str">
        <x:v>Rebecca Yarros</x:v>
      </x:c>
      <x:c r="F461" s="11" t="str">
        <x:v>Official #BookTok Top 20</x:v>
      </x:c>
      <x:c r="G461" s="11" t="str">
        <x:v>Media Control &amp; TikTok</x:v>
      </x:c>
      <x:c r="H461" s="11" t="n">
        <x:v>202503</x:v>
      </x:c>
      <x:c r="I461" s="11" t="str">
        <x:v>Complete</x:v>
      </x:c>
      <x:c r="J461" s="11" t="str">
        <x:v>Yes</x:v>
      </x:c>
    </x:row>
    <x:row r="462">
      <x:c r="A462" s="11" t="str">
        <x:v>2025-03</x:v>
      </x:c>
      <x:c r="B462" s="11" t="n">
        <x:v>14</x:v>
      </x:c>
      <x:c r="C462" s="11" t="str">
        <x:v>A Million Stars Above</x:v>
      </x:c>
      <x:c r="D462" s="11" t="str">
        <x:v>A Million Stars Above</x:v>
      </x:c>
      <x:c r="E462" s="11" t="str">
        <x:v>Ayla Dade</x:v>
      </x:c>
      <x:c r="F462" s="11" t="str">
        <x:v>Official #BookTok Top 20</x:v>
      </x:c>
      <x:c r="G462" s="11" t="str">
        <x:v>Media Control &amp; TikTok</x:v>
      </x:c>
      <x:c r="H462" s="11" t="n">
        <x:v>202503</x:v>
      </x:c>
      <x:c r="I462" s="11" t="str">
        <x:v>Complete</x:v>
      </x:c>
      <x:c r="J462" s="11" t="str">
        <x:v>Yes</x:v>
      </x:c>
    </x:row>
    <x:row r="463">
      <x:c r="A463" s="11" t="str">
        <x:v>2025-03</x:v>
      </x:c>
      <x:c r="B463" s="11" t="n">
        <x:v>15</x:v>
      </x:c>
      <x:c r="C463" s="11" t="str">
        <x:v>Credence - Sie ist tabu, doch Liebe kennt keine Regeln</x:v>
      </x:c>
      <x:c r="D463" s="11" t="str">
        <x:v>Credence - Sie ist tabu, doch Liebe kennt keine Regeln</x:v>
      </x:c>
      <x:c r="E463" s="11" t="str">
        <x:v>Penelope Douglas</x:v>
      </x:c>
      <x:c r="F463" s="11" t="str">
        <x:v>Official #BookTok Top 20</x:v>
      </x:c>
      <x:c r="G463" s="11" t="str">
        <x:v>Media Control &amp; TikTok</x:v>
      </x:c>
      <x:c r="H463" s="11" t="n">
        <x:v>202503</x:v>
      </x:c>
      <x:c r="I463" s="11" t="str">
        <x:v>Complete</x:v>
      </x:c>
      <x:c r="J463" s="11" t="str">
        <x:v>Yes</x:v>
      </x:c>
    </x:row>
    <x:row r="464">
      <x:c r="A464" s="11" t="str">
        <x:v>2025-03</x:v>
      </x:c>
      <x:c r="B464" s="11" t="n">
        <x:v>16</x:v>
      </x:c>
      <x:c r="C464" s="11" t="str">
        <x:v>Wie die Ruhe vor dem Sturm</x:v>
      </x:c>
      <x:c r="D464" s="11" t="str">
        <x:v>Wie die Ruhe vor dem Sturm</x:v>
      </x:c>
      <x:c r="E464" s="11" t="str">
        <x:v>Brittainy Cherry</x:v>
      </x:c>
      <x:c r="F464" s="11" t="str">
        <x:v>Official #BookTok Top 20</x:v>
      </x:c>
      <x:c r="G464" s="11" t="str">
        <x:v>Media Control &amp; TikTok</x:v>
      </x:c>
      <x:c r="H464" s="11" t="n">
        <x:v>202503</x:v>
      </x:c>
      <x:c r="I464" s="11" t="str">
        <x:v>Complete</x:v>
      </x:c>
      <x:c r="J464" s="11" t="str">
        <x:v>Yes</x:v>
      </x:c>
    </x:row>
    <x:row r="465">
      <x:c r="A465" s="11" t="str">
        <x:v>2025-03</x:v>
      </x:c>
      <x:c r="B465" s="11" t="n">
        <x:v>17</x:v>
      </x:c>
      <x:c r="C465" s="11" t="str">
        <x:v>Tausend Splitter zu dir - Based on Lena’s True Story</x:v>
      </x:c>
      <x:c r="D465" s="11" t="str">
        <x:v>Tausend Splitter zu dir - Based on Lena’s True Story</x:v>
      </x:c>
      <x:c r="E465" s="11" t="str">
        <x:v>Antonia Wesseling</x:v>
      </x:c>
      <x:c r="F465" s="11" t="str">
        <x:v>Official #BookTok Top 20</x:v>
      </x:c>
      <x:c r="G465" s="11" t="str">
        <x:v>Media Control &amp; TikTok</x:v>
      </x:c>
      <x:c r="H465" s="11" t="n">
        <x:v>202503</x:v>
      </x:c>
      <x:c r="I465" s="11" t="str">
        <x:v>Complete</x:v>
      </x:c>
      <x:c r="J465" s="11" t="str">
        <x:v>Yes</x:v>
      </x:c>
    </x:row>
    <x:row r="466">
      <x:c r="A466" s="11" t="str">
        <x:v>2025-03</x:v>
      </x:c>
      <x:c r="B466" s="11" t="n">
        <x:v>18</x:v>
      </x:c>
      <x:c r="C466" s="11" t="str">
        <x:v>Culpa Tuya - Deine Schuld</x:v>
      </x:c>
      <x:c r="D466" s="11" t="str">
        <x:v>Culpa Tuya - Deine Schuld</x:v>
      </x:c>
      <x:c r="E466" s="11" t="str">
        <x:v>Mercedes Ron</x:v>
      </x:c>
      <x:c r="F466" s="11" t="str">
        <x:v>Official #BookTok Top 20</x:v>
      </x:c>
      <x:c r="G466" s="11" t="str">
        <x:v>Media Control &amp; TikTok</x:v>
      </x:c>
      <x:c r="H466" s="11" t="n">
        <x:v>202503</x:v>
      </x:c>
      <x:c r="I466" s="11" t="str">
        <x:v>Complete</x:v>
      </x:c>
      <x:c r="J466" s="11" t="str">
        <x:v>Yes</x:v>
      </x:c>
    </x:row>
    <x:row r="467">
      <x:c r="A467" s="11" t="str">
        <x:v>2025-03</x:v>
      </x:c>
      <x:c r="B467" s="11" t="n">
        <x:v>19</x:v>
      </x:c>
      <x:c r="C467" s="11" t="str">
        <x:v>Wild Side</x:v>
      </x:c>
      <x:c r="D467" s="11" t="str">
        <x:v>Wild Side</x:v>
      </x:c>
      <x:c r="E467" s="11" t="str">
        <x:v>Elsie Silver</x:v>
      </x:c>
      <x:c r="F467" s="11" t="str">
        <x:v>Official #BookTok Top 20</x:v>
      </x:c>
      <x:c r="G467" s="11" t="str">
        <x:v>Media Control &amp; TikTok</x:v>
      </x:c>
      <x:c r="H467" s="11" t="n">
        <x:v>202503</x:v>
      </x:c>
      <x:c r="I467" s="11" t="str">
        <x:v>Complete</x:v>
      </x:c>
      <x:c r="J467" s="11" t="str">
        <x:v>Yes</x:v>
      </x:c>
    </x:row>
    <x:row r="468">
      <x:c r="A468" s="11" t="str">
        <x:v>2025-03</x:v>
      </x:c>
      <x:c r="B468" s="11" t="n">
        <x:v>20</x:v>
      </x:c>
      <x:c r="C468" s="11" t="str">
        <x:v>Mile High</x:v>
      </x:c>
      <x:c r="D468" s="11" t="str">
        <x:v>Mile High</x:v>
      </x:c>
      <x:c r="E468" s="11" t="str">
        <x:v>Liz Tomforde</x:v>
      </x:c>
      <x:c r="F468" s="11" t="str">
        <x:v>Official #BookTok Top 20</x:v>
      </x:c>
      <x:c r="G468" s="11" t="str">
        <x:v>Media Control &amp; TikTok</x:v>
      </x:c>
      <x:c r="H468" s="11" t="n">
        <x:v>202503</x:v>
      </x:c>
      <x:c r="I468" s="11" t="str">
        <x:v>Complete</x:v>
      </x:c>
      <x:c r="J468" s="11" t="str">
        <x:v>Yes</x:v>
      </x:c>
    </x:row>
    <x:row r="469">
      <x:c r="A469" s="11" t="str">
        <x:v>2025-04</x:v>
      </x:c>
      <x:c r="B469" s="11" t="n">
        <x:v>1</x:v>
      </x:c>
      <x:c r="C469" s="11" t="str">
        <x:v>Culpa Mía - Meine Schuld</x:v>
      </x:c>
      <x:c r="D469" s="11" t="str">
        <x:v>Culpa Mía - Meine Schuld</x:v>
      </x:c>
      <x:c r="E469" s="11" t="str">
        <x:v>Mercedes Ron</x:v>
      </x:c>
      <x:c r="F469" s="11" t="str">
        <x:v>Official #BookTok Top 20</x:v>
      </x:c>
      <x:c r="G469" s="11" t="str">
        <x:v>Media Control &amp; TikTok</x:v>
      </x:c>
      <x:c r="H469" s="11" t="n">
        <x:v>202504</x:v>
      </x:c>
      <x:c r="I469" s="11" t="str">
        <x:v>Complete</x:v>
      </x:c>
      <x:c r="J469" s="11" t="str">
        <x:v>Yes</x:v>
      </x:c>
    </x:row>
    <x:row r="470">
      <x:c r="A470" s="11" t="str">
        <x:v>2025-04</x:v>
      </x:c>
      <x:c r="B470" s="11" t="n">
        <x:v>2</x:v>
      </x:c>
      <x:c r="C470" s="11" t="str">
        <x:v>Culpa Nuestra - Unsere Schuld</x:v>
      </x:c>
      <x:c r="D470" s="11" t="str">
        <x:v>Culpa Nuestra - Unsere Schuld</x:v>
      </x:c>
      <x:c r="E470" s="11" t="str">
        <x:v>Mercedes Ron</x:v>
      </x:c>
      <x:c r="F470" s="11" t="str">
        <x:v>Official #BookTok Top 20</x:v>
      </x:c>
      <x:c r="G470" s="11" t="str">
        <x:v>Media Control &amp; TikTok</x:v>
      </x:c>
      <x:c r="H470" s="11" t="n">
        <x:v>202504</x:v>
      </x:c>
      <x:c r="I470" s="11" t="str">
        <x:v>Complete</x:v>
      </x:c>
      <x:c r="J470" s="11" t="str">
        <x:v>Yes</x:v>
      </x:c>
    </x:row>
    <x:row r="471">
      <x:c r="A471" s="11" t="str">
        <x:v>2025-04</x:v>
      </x:c>
      <x:c r="B471" s="11" t="n">
        <x:v>3</x:v>
      </x:c>
      <x:c r="C471" s="11" t="str">
        <x:v>Onyx Storm - Flammengeküsst</x:v>
      </x:c>
      <x:c r="D471" s="11" t="str">
        <x:v>Onyx Storm - Flammengeküsst</x:v>
      </x:c>
      <x:c r="E471" s="11" t="str">
        <x:v>Rebecca Yarros</x:v>
      </x:c>
      <x:c r="F471" s="11" t="str">
        <x:v>Official #BookTok Top 20</x:v>
      </x:c>
      <x:c r="G471" s="11" t="str">
        <x:v>Media Control &amp; TikTok</x:v>
      </x:c>
      <x:c r="H471" s="11" t="n">
        <x:v>202504</x:v>
      </x:c>
      <x:c r="I471" s="11" t="str">
        <x:v>Complete</x:v>
      </x:c>
      <x:c r="J471" s="11" t="str">
        <x:v>Yes</x:v>
      </x:c>
    </x:row>
    <x:row r="472">
      <x:c r="A472" s="11" t="str">
        <x:v>2025-04</x:v>
      </x:c>
      <x:c r="B472" s="11" t="n">
        <x:v>4</x:v>
      </x:c>
      <x:c r="C472" s="11" t="str">
        <x:v>Iron Flame - Flammengeküsst</x:v>
      </x:c>
      <x:c r="D472" s="11" t="str">
        <x:v>Iron Flame - Flammengeküsst</x:v>
      </x:c>
      <x:c r="E472" s="11" t="str">
        <x:v>Rebecca Yarros</x:v>
      </x:c>
      <x:c r="F472" s="11" t="str">
        <x:v>Official #BookTok Top 20</x:v>
      </x:c>
      <x:c r="G472" s="11" t="str">
        <x:v>Media Control &amp; TikTok</x:v>
      </x:c>
      <x:c r="H472" s="11" t="n">
        <x:v>202504</x:v>
      </x:c>
      <x:c r="I472" s="11" t="str">
        <x:v>Complete</x:v>
      </x:c>
      <x:c r="J472" s="11" t="str">
        <x:v>Yes</x:v>
      </x:c>
    </x:row>
    <x:row r="473">
      <x:c r="A473" s="11" t="str">
        <x:v>2025-04</x:v>
      </x:c>
      <x:c r="B473" s="11" t="n">
        <x:v>5</x:v>
      </x:c>
      <x:c r="C473" s="11" t="str">
        <x:v>Die Tribute von Panem L. Der Tag bricht an</x:v>
      </x:c>
      <x:c r="D473" s="11" t="str">
        <x:v>Die Tribute von Panem L. Der Tag bricht an</x:v>
      </x:c>
      <x:c r="E473" s="11" t="str">
        <x:v>Suzanne Collins</x:v>
      </x:c>
      <x:c r="F473" s="11" t="str">
        <x:v>Official #BookTok Top 20</x:v>
      </x:c>
      <x:c r="G473" s="11" t="str">
        <x:v>Media Control &amp; TikTok</x:v>
      </x:c>
      <x:c r="H473" s="11" t="n">
        <x:v>202504</x:v>
      </x:c>
      <x:c r="I473" s="11" t="str">
        <x:v>Complete</x:v>
      </x:c>
      <x:c r="J473" s="11" t="str">
        <x:v>Yes</x:v>
      </x:c>
    </x:row>
    <x:row r="474">
      <x:c r="A474" s="11" t="str">
        <x:v>2025-04</x:v>
      </x:c>
      <x:c r="B474" s="11" t="n">
        <x:v>6</x:v>
      </x:c>
      <x:c r="C474" s="11" t="str">
        <x:v>Icebreaker</x:v>
      </x:c>
      <x:c r="D474" s="11" t="str">
        <x:v>Icebreaker</x:v>
      </x:c>
      <x:c r="E474" s="11" t="str">
        <x:v>Hannah Grace</x:v>
      </x:c>
      <x:c r="F474" s="11" t="str">
        <x:v>Official #BookTok Top 20</x:v>
      </x:c>
      <x:c r="G474" s="11" t="str">
        <x:v>Media Control &amp; TikTok</x:v>
      </x:c>
      <x:c r="H474" s="11" t="n">
        <x:v>202504</x:v>
      </x:c>
      <x:c r="I474" s="11" t="str">
        <x:v>Complete</x:v>
      </x:c>
      <x:c r="J474" s="11" t="str">
        <x:v>Yes</x:v>
      </x:c>
    </x:row>
    <x:row r="475">
      <x:c r="A475" s="11" t="str">
        <x:v>2025-04</x:v>
      </x:c>
      <x:c r="B475" s="11" t="n">
        <x:v>7</x:v>
      </x:c>
      <x:c r="C475" s="11" t="str">
        <x:v>Fearless</x:v>
      </x:c>
      <x:c r="D475" s="11" t="str">
        <x:v>Powerless – Der Thron</x:v>
      </x:c>
      <x:c r="E475" s="11" t="str">
        <x:v>Lauren Roberts</x:v>
      </x:c>
      <x:c r="F475" s="11" t="str">
        <x:v>Official #BookTok Top 20</x:v>
      </x:c>
      <x:c r="G475" s="11" t="str">
        <x:v>Media Control &amp; TikTok</x:v>
      </x:c>
      <x:c r="H475" s="11" t="n">
        <x:v>202504</x:v>
      </x:c>
      <x:c r="I475" s="11" t="str">
        <x:v>Complete</x:v>
      </x:c>
      <x:c r="J475" s="11" t="str">
        <x:v>Yes</x:v>
      </x:c>
    </x:row>
    <x:row r="476">
      <x:c r="A476" s="11" t="str">
        <x:v>2025-04</x:v>
      </x:c>
      <x:c r="B476" s="11" t="n">
        <x:v>8</x:v>
      </x:c>
      <x:c r="C476" s="11" t="str">
        <x:v>Frankie</x:v>
      </x:c>
      <x:c r="D476" s="11" t="str">
        <x:v>Frankie</x:v>
      </x:c>
      <x:c r="E476" s="11" t="str">
        <x:v>Jochen Gutsch, Maxim Leo</x:v>
      </x:c>
      <x:c r="F476" s="11" t="str">
        <x:v>Official #BookTok Top 20</x:v>
      </x:c>
      <x:c r="G476" s="11" t="str">
        <x:v>Media Control &amp; TikTok</x:v>
      </x:c>
      <x:c r="H476" s="11" t="n">
        <x:v>202504</x:v>
      </x:c>
      <x:c r="I476" s="11" t="str">
        <x:v>Complete</x:v>
      </x:c>
      <x:c r="J476" s="11" t="str">
        <x:v>Yes</x:v>
      </x:c>
    </x:row>
    <x:row r="477">
      <x:c r="A477" s="11" t="str">
        <x:v>2025-04</x:v>
      </x:c>
      <x:c r="B477" s="11" t="n">
        <x:v>9</x:v>
      </x:c>
      <x:c r="C477" s="11" t="str">
        <x:v>»Mama, bitte lern Deutsch«</x:v>
      </x:c>
      <x:c r="D477" s="11" t="str">
        <x:v>»Mama, bitte lern Deutsch«</x:v>
      </x:c>
      <x:c r="E477" s="11" t="str">
        <x:v>Tahsim Durgun</x:v>
      </x:c>
      <x:c r="F477" s="11" t="str">
        <x:v>Official #BookTok Top 20</x:v>
      </x:c>
      <x:c r="G477" s="11" t="str">
        <x:v>Media Control &amp; TikTok</x:v>
      </x:c>
      <x:c r="H477" s="11" t="n">
        <x:v>202504</x:v>
      </x:c>
      <x:c r="I477" s="11" t="str">
        <x:v>Complete</x:v>
      </x:c>
      <x:c r="J477" s="11" t="str">
        <x:v>Yes</x:v>
      </x:c>
    </x:row>
    <x:row r="478">
      <x:c r="A478" s="11" t="str">
        <x:v>2025-04</x:v>
      </x:c>
      <x:c r="B478" s="11" t="n">
        <x:v>10</x:v>
      </x:c>
      <x:c r="C478" s="11" t="str">
        <x:v>Ikigai</x:v>
      </x:c>
      <x:c r="D478" s="11" t="str">
        <x:v>Ikigai</x:v>
      </x:c>
      <x:c r="E478" s="11" t="str">
        <x:v>Ken Mogi</x:v>
      </x:c>
      <x:c r="F478" s="11" t="str">
        <x:v>Official #BookTok Top 20</x:v>
      </x:c>
      <x:c r="G478" s="11" t="str">
        <x:v>Media Control &amp; TikTok</x:v>
      </x:c>
      <x:c r="H478" s="11" t="n">
        <x:v>202504</x:v>
      </x:c>
      <x:c r="I478" s="11" t="str">
        <x:v>Complete</x:v>
      </x:c>
      <x:c r="J478" s="11" t="str">
        <x:v>Yes</x:v>
      </x:c>
    </x:row>
    <x:row r="479">
      <x:c r="A479" s="11" t="str">
        <x:v>2025-04</x:v>
      </x:c>
      <x:c r="B479" s="11" t="n">
        <x:v>11</x:v>
      </x:c>
      <x:c r="C479" s="11" t="str">
        <x:v>Play Along</x:v>
      </x:c>
      <x:c r="D479" s="11" t="str">
        <x:v>Play Along</x:v>
      </x:c>
      <x:c r="E479" s="11" t="str">
        <x:v>Liz Tomforde</x:v>
      </x:c>
      <x:c r="F479" s="11" t="str">
        <x:v>Official #BookTok Top 20</x:v>
      </x:c>
      <x:c r="G479" s="11" t="str">
        <x:v>Media Control &amp; TikTok</x:v>
      </x:c>
      <x:c r="H479" s="11" t="n">
        <x:v>202504</x:v>
      </x:c>
      <x:c r="I479" s="11" t="str">
        <x:v>Complete</x:v>
      </x:c>
      <x:c r="J479" s="11" t="str">
        <x:v>Yes</x:v>
      </x:c>
    </x:row>
    <x:row r="480">
      <x:c r="A480" s="11" t="str">
        <x:v>2025-04</x:v>
      </x:c>
      <x:c r="B480" s="11" t="n">
        <x:v>12</x:v>
      </x:c>
      <x:c r="C480" s="11" t="str">
        <x:v>Watch Me - Ein Shatter-Me-Roman</x:v>
      </x:c>
      <x:c r="D480" s="11" t="str">
        <x:v>Watch Me - Ein Shatter-Me-Roman</x:v>
      </x:c>
      <x:c r="E480" s="11" t="str">
        <x:v>Tahereh Mafi</x:v>
      </x:c>
      <x:c r="F480" s="11" t="str">
        <x:v>Official #BookTok Top 20</x:v>
      </x:c>
      <x:c r="G480" s="11" t="str">
        <x:v>Media Control &amp; TikTok</x:v>
      </x:c>
      <x:c r="H480" s="11" t="n">
        <x:v>202504</x:v>
      </x:c>
      <x:c r="I480" s="11" t="str">
        <x:v>Complete</x:v>
      </x:c>
      <x:c r="J480" s="11" t="str">
        <x:v>Yes</x:v>
      </x:c>
    </x:row>
    <x:row r="481">
      <x:c r="A481" s="11" t="str">
        <x:v>2025-04</x:v>
      </x:c>
      <x:c r="B481" s="11" t="n">
        <x:v>13</x:v>
      </x:c>
      <x:c r="C481" s="11" t="str">
        <x:v>Das Kind in dir muss Heimat finden</x:v>
      </x:c>
      <x:c r="D481" s="11" t="str">
        <x:v>Das Kind in dir muss Heimat finden</x:v>
      </x:c>
      <x:c r="E481" s="11" t="str">
        <x:v>Stefanie Stahl</x:v>
      </x:c>
      <x:c r="F481" s="11" t="str">
        <x:v>Official #BookTok Top 20</x:v>
      </x:c>
      <x:c r="G481" s="11" t="str">
        <x:v>Media Control &amp; TikTok</x:v>
      </x:c>
      <x:c r="H481" s="11" t="n">
        <x:v>202504</x:v>
      </x:c>
      <x:c r="I481" s="11" t="str">
        <x:v>Complete</x:v>
      </x:c>
      <x:c r="J481" s="11" t="str">
        <x:v>Yes</x:v>
      </x:c>
    </x:row>
    <x:row r="482">
      <x:c r="A482" s="11" t="str">
        <x:v>2025-04</x:v>
      </x:c>
      <x:c r="B482" s="11" t="n">
        <x:v>14</x:v>
      </x:c>
      <x:c r="C482" s="11" t="str">
        <x:v>22 Bahnen</x:v>
      </x:c>
      <x:c r="D482" s="11" t="str">
        <x:v>22 Bahnen</x:v>
      </x:c>
      <x:c r="E482" s="11" t="str">
        <x:v>Caroline Wahl</x:v>
      </x:c>
      <x:c r="F482" s="11" t="str">
        <x:v>Official #BookTok Top 20</x:v>
      </x:c>
      <x:c r="G482" s="11" t="str">
        <x:v>Media Control &amp; TikTok</x:v>
      </x:c>
      <x:c r="H482" s="11" t="n">
        <x:v>202504</x:v>
      </x:c>
      <x:c r="I482" s="11" t="str">
        <x:v>Complete</x:v>
      </x:c>
      <x:c r="J482" s="11" t="str">
        <x:v>Yes</x:v>
      </x:c>
    </x:row>
    <x:row r="483">
      <x:c r="A483" s="11" t="str">
        <x:v>2025-04</x:v>
      </x:c>
      <x:c r="B483" s="11" t="n">
        <x:v>15</x:v>
      </x:c>
      <x:c r="C483" s="11" t="str">
        <x:v>This could be home</x:v>
      </x:c>
      <x:c r="D483" s="11" t="str">
        <x:v>This could be home</x:v>
      </x:c>
      <x:c r="E483" s="11" t="str">
        <x:v>Lilly Lucas</x:v>
      </x:c>
      <x:c r="F483" s="11" t="str">
        <x:v>Official #BookTok Top 20</x:v>
      </x:c>
      <x:c r="G483" s="11" t="str">
        <x:v>Media Control &amp; TikTok</x:v>
      </x:c>
      <x:c r="H483" s="11" t="n">
        <x:v>202504</x:v>
      </x:c>
      <x:c r="I483" s="11" t="str">
        <x:v>Complete</x:v>
      </x:c>
      <x:c r="J483" s="11" t="str">
        <x:v>Yes</x:v>
      </x:c>
    </x:row>
    <x:row r="484">
      <x:c r="A484" s="11" t="str">
        <x:v>2025-04</x:v>
      </x:c>
      <x:c r="B484" s="11" t="n">
        <x:v>16</x:v>
      </x:c>
      <x:c r="C484" s="11" t="str">
        <x:v>Die Mitternachtsbibliothek</x:v>
      </x:c>
      <x:c r="D484" s="11" t="str">
        <x:v>Die Mitternachtsbibliothek</x:v>
      </x:c>
      <x:c r="E484" s="11" t="str">
        <x:v>Matt Haig</x:v>
      </x:c>
      <x:c r="F484" s="11" t="str">
        <x:v>Official #BookTok Top 20</x:v>
      </x:c>
      <x:c r="G484" s="11" t="str">
        <x:v>Media Control &amp; TikTok</x:v>
      </x:c>
      <x:c r="H484" s="11" t="n">
        <x:v>202504</x:v>
      </x:c>
      <x:c r="I484" s="11" t="str">
        <x:v>Complete</x:v>
      </x:c>
      <x:c r="J484" s="11" t="str">
        <x:v>Yes</x:v>
      </x:c>
    </x:row>
    <x:row r="485">
      <x:c r="A485" s="11" t="str">
        <x:v>2025-04</x:v>
      </x:c>
      <x:c r="B485" s="11" t="n">
        <x:v>17</x:v>
      </x:c>
      <x:c r="C485" s="11" t="str">
        <x:v>Nightfall - Geheime Begierde</x:v>
      </x:c>
      <x:c r="D485" s="11" t="str">
        <x:v>Nightfall - Geheime Begierde</x:v>
      </x:c>
      <x:c r="E485" s="11" t="str">
        <x:v>Penelope Douglas</x:v>
      </x:c>
      <x:c r="F485" s="11" t="str">
        <x:v>Official #BookTok Top 20</x:v>
      </x:c>
      <x:c r="G485" s="11" t="str">
        <x:v>Media Control &amp; TikTok</x:v>
      </x:c>
      <x:c r="H485" s="11" t="n">
        <x:v>202504</x:v>
      </x:c>
      <x:c r="I485" s="11" t="str">
        <x:v>Complete</x:v>
      </x:c>
      <x:c r="J485" s="11" t="str">
        <x:v>Yes</x:v>
      </x:c>
    </x:row>
    <x:row r="486">
      <x:c r="A486" s="11" t="str">
        <x:v>2025-04</x:v>
      </x:c>
      <x:c r="B486" s="11" t="n">
        <x:v>18</x:v>
      </x:c>
      <x:c r="C486" s="11" t="str">
        <x:v>Quicksilver - Tochter des Silbers. Gefangener der Schatten</x:v>
      </x:c>
      <x:c r="D486" s="11" t="str">
        <x:v>Quicksilver - Tochter des Silbers. Gefangener der Schatten</x:v>
      </x:c>
      <x:c r="E486" s="11" t="str">
        <x:v>Callie Hart</x:v>
      </x:c>
      <x:c r="F486" s="11" t="str">
        <x:v>Official #BookTok Top 20</x:v>
      </x:c>
      <x:c r="G486" s="11" t="str">
        <x:v>Media Control &amp; TikTok</x:v>
      </x:c>
      <x:c r="H486" s="11" t="n">
        <x:v>202504</x:v>
      </x:c>
      <x:c r="I486" s="11" t="str">
        <x:v>Complete</x:v>
      </x:c>
      <x:c r="J486" s="11" t="str">
        <x:v>Yes</x:v>
      </x:c>
    </x:row>
    <x:row r="487">
      <x:c r="A487" s="11" t="str">
        <x:v>2025-04</x:v>
      </x:c>
      <x:c r="B487" s="11" t="n">
        <x:v>19</x:v>
      </x:c>
      <x:c r="C487" s="11" t="str">
        <x:v>Jeden Tag einen Schritt</x:v>
      </x:c>
      <x:c r="D487" s="11" t="str">
        <x:v>Jeden Tag einen Schritt</x:v>
      </x:c>
      <x:c r="E487" s="11" t="str">
        <x:v>Kiarash Hossainpour, Philip Hopf</x:v>
      </x:c>
      <x:c r="F487" s="11" t="str">
        <x:v>Official #BookTok Top 20</x:v>
      </x:c>
      <x:c r="G487" s="11" t="str">
        <x:v>Media Control &amp; TikTok</x:v>
      </x:c>
      <x:c r="H487" s="11" t="n">
        <x:v>202504</x:v>
      </x:c>
      <x:c r="I487" s="11" t="str">
        <x:v>Complete</x:v>
      </x:c>
      <x:c r="J487" s="11" t="str">
        <x:v>Yes</x:v>
      </x:c>
    </x:row>
    <x:row r="488">
      <x:c r="A488" s="11" t="str">
        <x:v>2025-04</x:v>
      </x:c>
      <x:c r="B488" s="11" t="n">
        <x:v>20</x:v>
      </x:c>
      <x:c r="C488" s="11" t="str">
        <x:v>Windstärke 17</x:v>
      </x:c>
      <x:c r="D488" s="11" t="str">
        <x:v>Windstärke 17</x:v>
      </x:c>
      <x:c r="E488" s="11" t="str">
        <x:v>Caroline Wahl</x:v>
      </x:c>
      <x:c r="F488" s="11" t="str">
        <x:v>Official #BookTok Top 20</x:v>
      </x:c>
      <x:c r="G488" s="11" t="str">
        <x:v>Media Control &amp; TikTok</x:v>
      </x:c>
      <x:c r="H488" s="11" t="n">
        <x:v>202504</x:v>
      </x:c>
      <x:c r="I488" s="11" t="str">
        <x:v>Complete</x:v>
      </x:c>
      <x:c r="J488" s="11" t="str">
        <x:v>Yes</x:v>
      </x:c>
    </x:row>
    <x:row r="489">
      <x:c r="A489" s="11" t="str">
        <x:v>2025-05</x:v>
      </x:c>
      <x:c r="B489" s="11" t="n">
        <x:v>1</x:v>
      </x:c>
      <x:c r="C489" s="11" t="str">
        <x:v>Onyx Storm - Flammengeküsst</x:v>
      </x:c>
      <x:c r="D489" s="11" t="str">
        <x:v>Onyx Storm - Flammengeküsst</x:v>
      </x:c>
      <x:c r="E489" s="11" t="str">
        <x:v>Rebecca Yarros</x:v>
      </x:c>
      <x:c r="F489" s="11" t="str">
        <x:v>Official #BookTok Top 20</x:v>
      </x:c>
      <x:c r="G489" s="11" t="str">
        <x:v>Media Control &amp; TikTok</x:v>
      </x:c>
      <x:c r="H489" s="11" t="n">
        <x:v>202505</x:v>
      </x:c>
      <x:c r="I489" s="11" t="str">
        <x:v>Complete</x:v>
      </x:c>
      <x:c r="J489" s="11" t="str">
        <x:v>Yes</x:v>
      </x:c>
    </x:row>
    <x:row r="490">
      <x:c r="A490" s="11" t="str">
        <x:v>2025-05</x:v>
      </x:c>
      <x:c r="B490" s="11" t="n">
        <x:v>2</x:v>
      </x:c>
      <x:c r="C490" s="11" t="str">
        <x:v>The Wind Weaver (Wind Weaver 1)</x:v>
      </x:c>
      <x:c r="D490" s="11" t="str">
        <x:v>The Wind Weaver (Wind Weaver 1)</x:v>
      </x:c>
      <x:c r="E490" s="11" t="str">
        <x:v>Julie Johnson</x:v>
      </x:c>
      <x:c r="F490" s="11" t="str">
        <x:v>Official #BookTok Top 20</x:v>
      </x:c>
      <x:c r="G490" s="11" t="str">
        <x:v>Media Control &amp; TikTok</x:v>
      </x:c>
      <x:c r="H490" s="11" t="n">
        <x:v>202505</x:v>
      </x:c>
      <x:c r="I490" s="11" t="str">
        <x:v>Complete</x:v>
      </x:c>
      <x:c r="J490" s="11" t="str">
        <x:v>Yes</x:v>
      </x:c>
    </x:row>
    <x:row r="491">
      <x:c r="A491" s="11" t="str">
        <x:v>2025-05</x:v>
      </x:c>
      <x:c r="B491" s="11" t="n">
        <x:v>3</x:v>
      </x:c>
      <x:c r="C491" s="11" t="str">
        <x:v>Die Tribute von Panem L. Der Tag bricht an</x:v>
      </x:c>
      <x:c r="D491" s="11" t="str">
        <x:v>Die Tribute von Panem L. Der Tag bricht an</x:v>
      </x:c>
      <x:c r="E491" s="11" t="str">
        <x:v>Suzanne Collins</x:v>
      </x:c>
      <x:c r="F491" s="11" t="str">
        <x:v>Official #BookTok Top 20</x:v>
      </x:c>
      <x:c r="G491" s="11" t="str">
        <x:v>Media Control &amp; TikTok</x:v>
      </x:c>
      <x:c r="H491" s="11" t="n">
        <x:v>202505</x:v>
      </x:c>
      <x:c r="I491" s="11" t="str">
        <x:v>Complete</x:v>
      </x:c>
      <x:c r="J491" s="11" t="str">
        <x:v>Yes</x:v>
      </x:c>
    </x:row>
    <x:row r="492">
      <x:c r="A492" s="11" t="str">
        <x:v>2025-05</x:v>
      </x:c>
      <x:c r="B492" s="11" t="n">
        <x:v>4</x:v>
      </x:c>
      <x:c r="C492" s="11" t="str">
        <x:v>Play Along</x:v>
      </x:c>
      <x:c r="D492" s="11" t="str">
        <x:v>Play Along</x:v>
      </x:c>
      <x:c r="E492" s="11" t="str">
        <x:v>Liz Tomforde</x:v>
      </x:c>
      <x:c r="F492" s="11" t="str">
        <x:v>Official #BookTok Top 20</x:v>
      </x:c>
      <x:c r="G492" s="11" t="str">
        <x:v>Media Control &amp; TikTok</x:v>
      </x:c>
      <x:c r="H492" s="11" t="n">
        <x:v>202505</x:v>
      </x:c>
      <x:c r="I492" s="11" t="str">
        <x:v>Complete</x:v>
      </x:c>
      <x:c r="J492" s="11" t="str">
        <x:v>Yes</x:v>
      </x:c>
    </x:row>
    <x:row r="493">
      <x:c r="A493" s="11" t="str">
        <x:v>2025-05</x:v>
      </x:c>
      <x:c r="B493" s="11" t="n">
        <x:v>5</x:v>
      </x:c>
      <x:c r="C493" s="11" t="str">
        <x:v>Ikigai</x:v>
      </x:c>
      <x:c r="D493" s="11" t="str">
        <x:v>Ikigai</x:v>
      </x:c>
      <x:c r="E493" s="11" t="str">
        <x:v>Ken Mogi</x:v>
      </x:c>
      <x:c r="F493" s="11" t="str">
        <x:v>Official #BookTok Top 20</x:v>
      </x:c>
      <x:c r="G493" s="11" t="str">
        <x:v>Media Control &amp; TikTok</x:v>
      </x:c>
      <x:c r="H493" s="11" t="n">
        <x:v>202505</x:v>
      </x:c>
      <x:c r="I493" s="11" t="str">
        <x:v>Complete</x:v>
      </x:c>
      <x:c r="J493" s="11" t="str">
        <x:v>Yes</x:v>
      </x:c>
    </x:row>
    <x:row r="494">
      <x:c r="A494" s="11" t="str">
        <x:v>2025-05</x:v>
      </x:c>
      <x:c r="B494" s="11" t="n">
        <x:v>6</x:v>
      </x:c>
      <x:c r="C494" s="11" t="str">
        <x:v>Frankie</x:v>
      </x:c>
      <x:c r="D494" s="11" t="str">
        <x:v>Frankie</x:v>
      </x:c>
      <x:c r="E494" s="11" t="str">
        <x:v>Jochen Gutsch, Maxim Leo</x:v>
      </x:c>
      <x:c r="F494" s="11" t="str">
        <x:v>Official #BookTok Top 20</x:v>
      </x:c>
      <x:c r="G494" s="11" t="str">
        <x:v>Media Control &amp; TikTok</x:v>
      </x:c>
      <x:c r="H494" s="11" t="n">
        <x:v>202505</x:v>
      </x:c>
      <x:c r="I494" s="11" t="str">
        <x:v>Complete</x:v>
      </x:c>
      <x:c r="J494" s="11" t="str">
        <x:v>Yes</x:v>
      </x:c>
    </x:row>
    <x:row r="495">
      <x:c r="A495" s="11" t="str">
        <x:v>2025-05</x:v>
      </x:c>
      <x:c r="B495" s="11" t="n">
        <x:v>7</x:v>
      </x:c>
      <x:c r="C495" s="11" t="str">
        <x:v>»Mama, bitte lern Deutsch«</x:v>
      </x:c>
      <x:c r="D495" s="11" t="str">
        <x:v>»Mama, bitte lern Deutsch«</x:v>
      </x:c>
      <x:c r="E495" s="11" t="str">
        <x:v>Tahsim Durgun</x:v>
      </x:c>
      <x:c r="F495" s="11" t="str">
        <x:v>Official #BookTok Top 20</x:v>
      </x:c>
      <x:c r="G495" s="11" t="str">
        <x:v>Media Control &amp; TikTok</x:v>
      </x:c>
      <x:c r="H495" s="11" t="n">
        <x:v>202505</x:v>
      </x:c>
      <x:c r="I495" s="11" t="str">
        <x:v>Complete</x:v>
      </x:c>
      <x:c r="J495" s="11" t="str">
        <x:v>Yes</x:v>
      </x:c>
    </x:row>
    <x:row r="496">
      <x:c r="A496" s="11" t="str">
        <x:v>2025-05</x:v>
      </x:c>
      <x:c r="B496" s="11" t="n">
        <x:v>8</x:v>
      </x:c>
      <x:c r="C496" s="11" t="str">
        <x:v>22 Bahnen</x:v>
      </x:c>
      <x:c r="D496" s="11" t="str">
        <x:v>22 Bahnen</x:v>
      </x:c>
      <x:c r="E496" s="11" t="str">
        <x:v>Caroline Wahl</x:v>
      </x:c>
      <x:c r="F496" s="11" t="str">
        <x:v>Official #BookTok Top 20</x:v>
      </x:c>
      <x:c r="G496" s="11" t="str">
        <x:v>Media Control &amp; TikTok</x:v>
      </x:c>
      <x:c r="H496" s="11" t="n">
        <x:v>202505</x:v>
      </x:c>
      <x:c r="I496" s="11" t="str">
        <x:v>Complete</x:v>
      </x:c>
      <x:c r="J496" s="11" t="str">
        <x:v>Yes</x:v>
      </x:c>
    </x:row>
    <x:row r="497">
      <x:c r="A497" s="11" t="str">
        <x:v>2025-05</x:v>
      </x:c>
      <x:c r="B497" s="11" t="n">
        <x:v>9</x:v>
      </x:c>
      <x:c r="C497" s="11" t="str">
        <x:v>House of Verity (Abschlussband der dystopischen Fantasysaga)</x:v>
      </x:c>
      <x:c r="D497" s="11" t="str">
        <x:v>House of Verity (Abschlussband der dystopischen Fantasysaga)</x:v>
      </x:c>
      <x:c r="E497" s="11" t="str">
        <x:v>Marah Woolf</x:v>
      </x:c>
      <x:c r="F497" s="11" t="str">
        <x:v>Official #BookTok Top 20</x:v>
      </x:c>
      <x:c r="G497" s="11" t="str">
        <x:v>Media Control &amp; TikTok</x:v>
      </x:c>
      <x:c r="H497" s="11" t="n">
        <x:v>202505</x:v>
      </x:c>
      <x:c r="I497" s="11" t="str">
        <x:v>Complete</x:v>
      </x:c>
      <x:c r="J497" s="11" t="str">
        <x:v>Yes</x:v>
      </x:c>
    </x:row>
    <x:row r="498">
      <x:c r="A498" s="11" t="str">
        <x:v>2025-05</x:v>
      </x:c>
      <x:c r="B498" s="11" t="n">
        <x:v>10</x:v>
      </x:c>
      <x:c r="C498" s="11" t="str">
        <x:v>Das Kind in dir muss Heimat finden</x:v>
      </x:c>
      <x:c r="D498" s="11" t="str">
        <x:v>Das Kind in dir muss Heimat finden</x:v>
      </x:c>
      <x:c r="E498" s="11" t="str">
        <x:v>Stefanie Stahl</x:v>
      </x:c>
      <x:c r="F498" s="11" t="str">
        <x:v>Official #BookTok Top 20</x:v>
      </x:c>
      <x:c r="G498" s="11" t="str">
        <x:v>Media Control &amp; TikTok</x:v>
      </x:c>
      <x:c r="H498" s="11" t="n">
        <x:v>202505</x:v>
      </x:c>
      <x:c r="I498" s="11" t="str">
        <x:v>Complete</x:v>
      </x:c>
      <x:c r="J498" s="11" t="str">
        <x:v>Yes</x:v>
      </x:c>
    </x:row>
    <x:row r="499">
      <x:c r="A499" s="11" t="str">
        <x:v>2025-05</x:v>
      </x:c>
      <x:c r="B499" s="11" t="n">
        <x:v>11</x:v>
      </x:c>
      <x:c r="C499" s="11" t="str">
        <x:v>Windstärke 17</x:v>
      </x:c>
      <x:c r="D499" s="11" t="str">
        <x:v>Windstärke 17</x:v>
      </x:c>
      <x:c r="E499" s="11" t="str">
        <x:v>Caroline Wahl</x:v>
      </x:c>
      <x:c r="F499" s="11" t="str">
        <x:v>Official #BookTok Top 20</x:v>
      </x:c>
      <x:c r="G499" s="11" t="str">
        <x:v>Media Control &amp; TikTok</x:v>
      </x:c>
      <x:c r="H499" s="11" t="n">
        <x:v>202505</x:v>
      </x:c>
      <x:c r="I499" s="11" t="str">
        <x:v>Complete</x:v>
      </x:c>
      <x:c r="J499" s="11" t="str">
        <x:v>Yes</x:v>
      </x:c>
    </x:row>
    <x:row r="500">
      <x:c r="A500" s="11" t="str">
        <x:v>2025-05</x:v>
      </x:c>
      <x:c r="B500" s="11" t="n">
        <x:v>12</x:v>
      </x:c>
      <x:c r="C500" s="11" t="str">
        <x:v>King of Envy</x:v>
      </x:c>
      <x:c r="D500" s="11" t="str">
        <x:v>King of Envy</x:v>
      </x:c>
      <x:c r="E500" s="11" t="str">
        <x:v>Ana Huang</x:v>
      </x:c>
      <x:c r="F500" s="11" t="str">
        <x:v>Official #BookTok Top 20</x:v>
      </x:c>
      <x:c r="G500" s="11" t="str">
        <x:v>Media Control &amp; TikTok</x:v>
      </x:c>
      <x:c r="H500" s="11" t="n">
        <x:v>202505</x:v>
      </x:c>
      <x:c r="I500" s="11" t="str">
        <x:v>Complete</x:v>
      </x:c>
      <x:c r="J500" s="11" t="str">
        <x:v>Yes</x:v>
      </x:c>
    </x:row>
    <x:row r="501">
      <x:c r="A501" s="11" t="str">
        <x:v>2025-05</x:v>
      </x:c>
      <x:c r="B501" s="11" t="n">
        <x:v>13</x:v>
      </x:c>
      <x:c r="C501" s="11" t="str">
        <x:v>Married into Magic: Dance with the Fae Prince</x:v>
      </x:c>
      <x:c r="D501" s="11" t="str">
        <x:v>Married into Magic: Dance with the Fae Prince</x:v>
      </x:c>
      <x:c r="E501" s="11" t="str">
        <x:v>Elise Kova</x:v>
      </x:c>
      <x:c r="F501" s="11" t="str">
        <x:v>Official #BookTok Top 20</x:v>
      </x:c>
      <x:c r="G501" s="11" t="str">
        <x:v>Media Control &amp; TikTok</x:v>
      </x:c>
      <x:c r="H501" s="11" t="n">
        <x:v>202505</x:v>
      </x:c>
      <x:c r="I501" s="11" t="str">
        <x:v>Complete</x:v>
      </x:c>
      <x:c r="J501" s="11" t="str">
        <x:v>Yes</x:v>
      </x:c>
    </x:row>
    <x:row r="502">
      <x:c r="A502" s="11" t="str">
        <x:v>2025-05</x:v>
      </x:c>
      <x:c r="B502" s="11" t="n">
        <x:v>14</x:v>
      </x:c>
      <x:c r="C502" s="11" t="str">
        <x:v>Tale of the Heart Queen</x:v>
      </x:c>
      <x:c r="D502" s="11" t="str">
        <x:v>Tale of the Heart Queen</x:v>
      </x:c>
      <x:c r="E502" s="11" t="str">
        <x:v>Nisha J. Tuli</x:v>
      </x:c>
      <x:c r="F502" s="11" t="str">
        <x:v>Official #BookTok Top 20</x:v>
      </x:c>
      <x:c r="G502" s="11" t="str">
        <x:v>Media Control &amp; TikTok</x:v>
      </x:c>
      <x:c r="H502" s="11" t="n">
        <x:v>202505</x:v>
      </x:c>
      <x:c r="I502" s="11" t="str">
        <x:v>Complete</x:v>
      </x:c>
      <x:c r="J502" s="11" t="str">
        <x:v>Yes</x:v>
      </x:c>
    </x:row>
    <x:row r="503">
      <x:c r="A503" s="11" t="str">
        <x:v>2025-05</x:v>
      </x:c>
      <x:c r="B503" s="11" t="n">
        <x:v>15</x:v>
      </x:c>
      <x:c r="C503" s="11" t="str">
        <x:v>Die Mitternachtsbibliothek</x:v>
      </x:c>
      <x:c r="D503" s="11" t="str">
        <x:v>Die Mitternachtsbibliothek</x:v>
      </x:c>
      <x:c r="E503" s="11" t="str">
        <x:v>Matt Haig</x:v>
      </x:c>
      <x:c r="F503" s="11" t="str">
        <x:v>Official #BookTok Top 20</x:v>
      </x:c>
      <x:c r="G503" s="11" t="str">
        <x:v>Media Control &amp; TikTok</x:v>
      </x:c>
      <x:c r="H503" s="11" t="n">
        <x:v>202505</x:v>
      </x:c>
      <x:c r="I503" s="11" t="str">
        <x:v>Complete</x:v>
      </x:c>
      <x:c r="J503" s="11" t="str">
        <x:v>Yes</x:v>
      </x:c>
    </x:row>
    <x:row r="504">
      <x:c r="A504" s="11" t="str">
        <x:v>2025-05</x:v>
      </x:c>
      <x:c r="B504" s="11" t="n">
        <x:v>16</x:v>
      </x:c>
      <x:c r="C504" s="11" t="str">
        <x:v>Fourth Wing - Flammengeküsst (Bonuskapitel)</x:v>
      </x:c>
      <x:c r="D504" s="11" t="str">
        <x:v>Fourth Wing - Flammengeküsst</x:v>
      </x:c>
      <x:c r="E504" s="11" t="str">
        <x:v>Rebecca Yarros</x:v>
      </x:c>
      <x:c r="F504" s="11" t="str">
        <x:v>Official #BookTok Top 20</x:v>
      </x:c>
      <x:c r="G504" s="11" t="str">
        <x:v>Media Control &amp; TikTok</x:v>
      </x:c>
      <x:c r="H504" s="11" t="n">
        <x:v>202505</x:v>
      </x:c>
      <x:c r="I504" s="11" t="str">
        <x:v>Complete</x:v>
      </x:c>
      <x:c r="J504" s="11" t="str">
        <x:v>Yes</x:v>
      </x:c>
    </x:row>
    <x:row r="505">
      <x:c r="A505" s="11" t="str">
        <x:v>2025-05</x:v>
      </x:c>
      <x:c r="B505" s="11" t="n">
        <x:v>17</x:v>
      </x:c>
      <x:c r="C505" s="11" t="str">
        <x:v>Die 1%-Methode - Minimale Veränderung, maximale Wirkung</x:v>
      </x:c>
      <x:c r="D505" s="11" t="str">
        <x:v>Die 1%-Methode - Minimale Veränderung, maximale Wirkung</x:v>
      </x:c>
      <x:c r="E505" s="11" t="str">
        <x:v>James Clear</x:v>
      </x:c>
      <x:c r="F505" s="11" t="str">
        <x:v>Official #BookTok Top 20</x:v>
      </x:c>
      <x:c r="G505" s="11" t="str">
        <x:v>Media Control &amp; TikTok</x:v>
      </x:c>
      <x:c r="H505" s="11" t="n">
        <x:v>202505</x:v>
      </x:c>
      <x:c r="I505" s="11" t="str">
        <x:v>Complete</x:v>
      </x:c>
      <x:c r="J505" s="11" t="str">
        <x:v>Yes</x:v>
      </x:c>
    </x:row>
    <x:row r="506">
      <x:c r="A506" s="11" t="str">
        <x:v>2025-05</x:v>
      </x:c>
      <x:c r="B506" s="11" t="n">
        <x:v>18</x:v>
      </x:c>
      <x:c r="C506" s="11" t="str">
        <x:v>Dieser Sommer wird anders</x:v>
      </x:c>
      <x:c r="D506" s="11" t="str">
        <x:v>Dieser Sommer wird anders</x:v>
      </x:c>
      <x:c r="E506" s="11" t="str">
        <x:v>Carley Fortune</x:v>
      </x:c>
      <x:c r="F506" s="11" t="str">
        <x:v>Official #BookTok Top 20</x:v>
      </x:c>
      <x:c r="G506" s="11" t="str">
        <x:v>Media Control &amp; TikTok</x:v>
      </x:c>
      <x:c r="H506" s="11" t="n">
        <x:v>202505</x:v>
      </x:c>
      <x:c r="I506" s="11" t="str">
        <x:v>Complete</x:v>
      </x:c>
      <x:c r="J506" s="11" t="str">
        <x:v>Yes</x:v>
      </x:c>
    </x:row>
    <x:row r="507">
      <x:c r="A507" s="11" t="str">
        <x:v>2025-05</x:v>
      </x:c>
      <x:c r="B507" s="11" t="n">
        <x:v>19</x:v>
      </x:c>
      <x:c r="C507" s="11" t="str">
        <x:v>Die LET THEM Theorie</x:v>
      </x:c>
      <x:c r="D507" s="11" t="str">
        <x:v>Die LET THEM Theorie</x:v>
      </x:c>
      <x:c r="E507" s="11" t="str">
        <x:v>Mel Robbins, Sawyer Robbins</x:v>
      </x:c>
      <x:c r="F507" s="11" t="str">
        <x:v>Official #BookTok Top 20</x:v>
      </x:c>
      <x:c r="G507" s="11" t="str">
        <x:v>Media Control &amp; TikTok</x:v>
      </x:c>
      <x:c r="H507" s="11" t="n">
        <x:v>202505</x:v>
      </x:c>
      <x:c r="I507" s="11" t="str">
        <x:v>Complete</x:v>
      </x:c>
      <x:c r="J507" s="11" t="str">
        <x:v>Yes</x:v>
      </x:c>
    </x:row>
    <x:row r="508">
      <x:c r="A508" s="11" t="str">
        <x:v>2025-05</x:v>
      </x:c>
      <x:c r="B508" s="11" t="n">
        <x:v>20</x:v>
      </x:c>
      <x:c r="C508" s="11" t="str">
        <x:v>Just for the Summer</x:v>
      </x:c>
      <x:c r="D508" s="11" t="str">
        <x:v>Just for the Summer</x:v>
      </x:c>
      <x:c r="E508" s="11" t="str">
        <x:v>Abby Jimenez</x:v>
      </x:c>
      <x:c r="F508" s="11" t="str">
        <x:v>Official #BookTok Top 20</x:v>
      </x:c>
      <x:c r="G508" s="11" t="str">
        <x:v>Media Control &amp; TikTok</x:v>
      </x:c>
      <x:c r="H508" s="11" t="n">
        <x:v>202505</x:v>
      </x:c>
      <x:c r="I508" s="11" t="str">
        <x:v>Complete</x:v>
      </x:c>
      <x:c r="J508" s="11" t="str">
        <x:v>Yes</x:v>
      </x:c>
    </x:row>
    <x:row r="509">
      <x:c r="A509" s="11" t="str">
        <x:v>2025-06</x:v>
      </x:c>
      <x:c r="B509" s="11" t="n">
        <x:v>1</x:v>
      </x:c>
      <x:c r="C509" s="11" t="str">
        <x:v>22 Bahnen</x:v>
      </x:c>
      <x:c r="D509" s="11" t="str">
        <x:v>22 Bahnen</x:v>
      </x:c>
      <x:c r="E509" s="11" t="str">
        <x:v>Caroline Wahl</x:v>
      </x:c>
      <x:c r="F509" s="11" t="str">
        <x:v>Official #BookTok Top 20</x:v>
      </x:c>
      <x:c r="G509" s="11" t="str">
        <x:v>Media Control &amp; TikTok</x:v>
      </x:c>
      <x:c r="H509" s="11" t="n">
        <x:v>202506</x:v>
      </x:c>
      <x:c r="I509" s="11" t="str">
        <x:v>Complete</x:v>
      </x:c>
      <x:c r="J509" s="11" t="str">
        <x:v>Yes</x:v>
      </x:c>
    </x:row>
    <x:row r="510">
      <x:c r="A510" s="11" t="str">
        <x:v>2025-06</x:v>
      </x:c>
      <x:c r="B510" s="11" t="n">
        <x:v>2</x:v>
      </x:c>
      <x:c r="C510" s="11" t="str">
        <x:v>Frankie</x:v>
      </x:c>
      <x:c r="D510" s="11" t="str">
        <x:v>Frankie</x:v>
      </x:c>
      <x:c r="E510" s="11" t="str">
        <x:v>Jochen Gutsch, Maxim Leo</x:v>
      </x:c>
      <x:c r="F510" s="11" t="str">
        <x:v>Official #BookTok Top 20</x:v>
      </x:c>
      <x:c r="G510" s="11" t="str">
        <x:v>Media Control &amp; TikTok</x:v>
      </x:c>
      <x:c r="H510" s="11" t="n">
        <x:v>202506</x:v>
      </x:c>
      <x:c r="I510" s="11" t="str">
        <x:v>Complete</x:v>
      </x:c>
      <x:c r="J510" s="11" t="str">
        <x:v>Yes</x:v>
      </x:c>
    </x:row>
    <x:row r="511">
      <x:c r="A511" s="11" t="str">
        <x:v>2025-06</x:v>
      </x:c>
      <x:c r="B511" s="11" t="n">
        <x:v>3</x:v>
      </x:c>
      <x:c r="C511" s="11" t="str">
        <x:v>Die Tribute von Panem L. Der Tag bricht an</x:v>
      </x:c>
      <x:c r="D511" s="11" t="str">
        <x:v>Die Tribute von Panem L. Der Tag bricht an</x:v>
      </x:c>
      <x:c r="E511" s="11" t="str">
        <x:v>Suzanne Collins</x:v>
      </x:c>
      <x:c r="F511" s="11" t="str">
        <x:v>Official #BookTok Top 20</x:v>
      </x:c>
      <x:c r="G511" s="11" t="str">
        <x:v>Media Control &amp; TikTok</x:v>
      </x:c>
      <x:c r="H511" s="11" t="n">
        <x:v>202506</x:v>
      </x:c>
      <x:c r="I511" s="11" t="str">
        <x:v>Complete</x:v>
      </x:c>
      <x:c r="J511" s="11" t="str">
        <x:v>Yes</x:v>
      </x:c>
    </x:row>
    <x:row r="512">
      <x:c r="A512" s="11" t="str">
        <x:v>2025-06</x:v>
      </x:c>
      <x:c r="B512" s="11" t="n">
        <x:v>4</x:v>
      </x:c>
      <x:c r="C512" s="11" t="str">
        <x:v>Ikigai</x:v>
      </x:c>
      <x:c r="D512" s="11" t="str">
        <x:v>Ikigai</x:v>
      </x:c>
      <x:c r="E512" s="11" t="str">
        <x:v>Ken Mogi</x:v>
      </x:c>
      <x:c r="F512" s="11" t="str">
        <x:v>Official #BookTok Top 20</x:v>
      </x:c>
      <x:c r="G512" s="11" t="str">
        <x:v>Media Control &amp; TikTok</x:v>
      </x:c>
      <x:c r="H512" s="11" t="n">
        <x:v>202506</x:v>
      </x:c>
      <x:c r="I512" s="11" t="str">
        <x:v>Complete</x:v>
      </x:c>
      <x:c r="J512" s="11" t="str">
        <x:v>Yes</x:v>
      </x:c>
    </x:row>
    <x:row r="513">
      <x:c r="A513" s="11" t="str">
        <x:v>2025-06</x:v>
      </x:c>
      <x:c r="B513" s="11" t="n">
        <x:v>5</x:v>
      </x:c>
      <x:c r="C513" s="11" t="str">
        <x:v>Satan’s Affair</x:v>
      </x:c>
      <x:c r="D513" s="11" t="str">
        <x:v>Satan’s Affair</x:v>
      </x:c>
      <x:c r="E513" s="11" t="str">
        <x:v>H. D. Carlton</x:v>
      </x:c>
      <x:c r="F513" s="11" t="str">
        <x:v>Official #BookTok Top 20</x:v>
      </x:c>
      <x:c r="G513" s="11" t="str">
        <x:v>Media Control &amp; TikTok</x:v>
      </x:c>
      <x:c r="H513" s="11" t="n">
        <x:v>202506</x:v>
      </x:c>
      <x:c r="I513" s="11" t="str">
        <x:v>Complete</x:v>
      </x:c>
      <x:c r="J513" s="11" t="str">
        <x:v>Yes</x:v>
      </x:c>
    </x:row>
    <x:row r="514">
      <x:c r="A514" s="11" t="str">
        <x:v>2025-06</x:v>
      </x:c>
      <x:c r="B514" s="11" t="n">
        <x:v>6</x:v>
      </x:c>
      <x:c r="C514" s="11" t="str">
        <x:v>Praeda</x:v>
      </x:c>
      <x:c r="D514" s="11" t="str">
        <x:v>Praeda</x:v>
      </x:c>
      <x:c r="E514" s="11" t="str">
        <x:v>Isabelle North</x:v>
      </x:c>
      <x:c r="F514" s="11" t="str">
        <x:v>Official #BookTok Top 20</x:v>
      </x:c>
      <x:c r="G514" s="11" t="str">
        <x:v>Media Control &amp; TikTok</x:v>
      </x:c>
      <x:c r="H514" s="11" t="n">
        <x:v>202506</x:v>
      </x:c>
      <x:c r="I514" s="11" t="str">
        <x:v>Complete</x:v>
      </x:c>
      <x:c r="J514" s="11" t="str">
        <x:v>Yes</x:v>
      </x:c>
    </x:row>
    <x:row r="515">
      <x:c r="A515" s="11" t="str">
        <x:v>2025-06</x:v>
      </x:c>
      <x:c r="B515" s="11" t="n">
        <x:v>7</x:v>
      </x:c>
      <x:c r="C515" s="11" t="str">
        <x:v>Windstärke 17</x:v>
      </x:c>
      <x:c r="D515" s="11" t="str">
        <x:v>Windstärke 17</x:v>
      </x:c>
      <x:c r="E515" s="11" t="str">
        <x:v>Caroline Wahl</x:v>
      </x:c>
      <x:c r="F515" s="11" t="str">
        <x:v>Official #BookTok Top 20</x:v>
      </x:c>
      <x:c r="G515" s="11" t="str">
        <x:v>Media Control &amp; TikTok</x:v>
      </x:c>
      <x:c r="H515" s="11" t="n">
        <x:v>202506</x:v>
      </x:c>
      <x:c r="I515" s="11" t="str">
        <x:v>Complete</x:v>
      </x:c>
      <x:c r="J515" s="11" t="str">
        <x:v>Yes</x:v>
      </x:c>
    </x:row>
    <x:row r="516">
      <x:c r="A516" s="11" t="str">
        <x:v>2025-06</x:v>
      </x:c>
      <x:c r="B516" s="11" t="n">
        <x:v>8</x:v>
      </x:c>
      <x:c r="C516" s="11" t="str">
        <x:v>»Mama, bitte lern Deutsch«</x:v>
      </x:c>
      <x:c r="D516" s="11" t="str">
        <x:v>»Mama, bitte lern Deutsch«</x:v>
      </x:c>
      <x:c r="E516" s="11" t="str">
        <x:v>Tahsim Durgun</x:v>
      </x:c>
      <x:c r="F516" s="11" t="str">
        <x:v>Official #BookTok Top 20</x:v>
      </x:c>
      <x:c r="G516" s="11" t="str">
        <x:v>Media Control &amp; TikTok</x:v>
      </x:c>
      <x:c r="H516" s="11" t="n">
        <x:v>202506</x:v>
      </x:c>
      <x:c r="I516" s="11" t="str">
        <x:v>Complete</x:v>
      </x:c>
      <x:c r="J516" s="11" t="str">
        <x:v>Yes</x:v>
      </x:c>
    </x:row>
    <x:row r="517">
      <x:c r="A517" s="11" t="str">
        <x:v>2025-06</x:v>
      </x:c>
      <x:c r="B517" s="11" t="n">
        <x:v>9</x:v>
      </x:c>
      <x:c r="C517" s="11" t="str">
        <x:v>Liebe geht durch alle Zeiten (1). Rubinrot</x:v>
      </x:c>
      <x:c r="D517" s="11" t="str">
        <x:v>Liebe geht durch alle Zeiten (1). Rubinrot</x:v>
      </x:c>
      <x:c r="E517" s="11" t="str">
        <x:v>Kerstin Gier</x:v>
      </x:c>
      <x:c r="F517" s="11" t="str">
        <x:v>Official #BookTok Top 20</x:v>
      </x:c>
      <x:c r="G517" s="11" t="str">
        <x:v>Media Control &amp; TikTok</x:v>
      </x:c>
      <x:c r="H517" s="11" t="n">
        <x:v>202506</x:v>
      </x:c>
      <x:c r="I517" s="11" t="str">
        <x:v>Complete</x:v>
      </x:c>
      <x:c r="J517" s="11" t="str">
        <x:v>Yes</x:v>
      </x:c>
    </x:row>
    <x:row r="518">
      <x:c r="A518" s="11" t="str">
        <x:v>2025-06</x:v>
      </x:c>
      <x:c r="B518" s="11" t="n">
        <x:v>10</x:v>
      </x:c>
      <x:c r="C518" s="11" t="str">
        <x:v>Black Bird Academy - Liebe den Tod</x:v>
      </x:c>
      <x:c r="D518" s="11" t="str">
        <x:v>Black Bird Academy - Liebe den Tod</x:v>
      </x:c>
      <x:c r="E518" s="11" t="str">
        <x:v>Stella Tack</x:v>
      </x:c>
      <x:c r="F518" s="11" t="str">
        <x:v>Official #BookTok Top 20</x:v>
      </x:c>
      <x:c r="G518" s="11" t="str">
        <x:v>Media Control &amp; TikTok</x:v>
      </x:c>
      <x:c r="H518" s="11" t="n">
        <x:v>202506</x:v>
      </x:c>
      <x:c r="I518" s="11" t="str">
        <x:v>Complete</x:v>
      </x:c>
      <x:c r="J518" s="11" t="str">
        <x:v>Yes</x:v>
      </x:c>
    </x:row>
    <x:row r="519">
      <x:c r="A519" s="11" t="str">
        <x:v>2025-06</x:v>
      </x:c>
      <x:c r="B519" s="11" t="n">
        <x:v>11</x:v>
      </x:c>
      <x:c r="C519" s="11" t="str">
        <x:v>Wenn nicht jetzt, wann dann</x:v>
      </x:c>
      <x:c r="D519" s="11" t="str">
        <x:v>Wenn nicht jetzt, wann dann</x:v>
      </x:c>
      <x:c r="E519" s="11" t="str">
        <x:v>Mimi Lawrence</x:v>
      </x:c>
      <x:c r="F519" s="11" t="str">
        <x:v>Official #BookTok Top 20</x:v>
      </x:c>
      <x:c r="G519" s="11" t="str">
        <x:v>Media Control &amp; TikTok</x:v>
      </x:c>
      <x:c r="H519" s="11" t="n">
        <x:v>202506</x:v>
      </x:c>
      <x:c r="I519" s="11" t="str">
        <x:v>Complete</x:v>
      </x:c>
      <x:c r="J519" s="11" t="str">
        <x:v>Yes</x:v>
      </x:c>
    </x:row>
    <x:row r="520">
      <x:c r="A520" s="11" t="str">
        <x:v>2025-06</x:v>
      </x:c>
      <x:c r="B520" s="11" t="n">
        <x:v>12</x:v>
      </x:c>
      <x:c r="C520" s="11" t="str">
        <x:v>Das Kind in dir muss Heimat finden</x:v>
      </x:c>
      <x:c r="D520" s="11" t="str">
        <x:v>Das Kind in dir muss Heimat finden</x:v>
      </x:c>
      <x:c r="E520" s="11" t="str">
        <x:v>Stefanie Stahl</x:v>
      </x:c>
      <x:c r="F520" s="11" t="str">
        <x:v>Official #BookTok Top 20</x:v>
      </x:c>
      <x:c r="G520" s="11" t="str">
        <x:v>Media Control &amp; TikTok</x:v>
      </x:c>
      <x:c r="H520" s="11" t="n">
        <x:v>202506</x:v>
      </x:c>
      <x:c r="I520" s="11" t="str">
        <x:v>Complete</x:v>
      </x:c>
      <x:c r="J520" s="11" t="str">
        <x:v>Yes</x:v>
      </x:c>
    </x:row>
    <x:row r="521">
      <x:c r="A521" s="11" t="str">
        <x:v>2025-06</x:v>
      </x:c>
      <x:c r="B521" s="11" t="n">
        <x:v>13</x:v>
      </x:c>
      <x:c r="C521" s="11" t="str">
        <x:v>Die 1%-Methode - Minimale Veränderung, maximale Wirkung</x:v>
      </x:c>
      <x:c r="D521" s="11" t="str">
        <x:v>Die 1%-Methode - Minimale Veränderung, maximale Wirkung</x:v>
      </x:c>
      <x:c r="E521" s="11" t="str">
        <x:v>James Clear</x:v>
      </x:c>
      <x:c r="F521" s="11" t="str">
        <x:v>Official #BookTok Top 20</x:v>
      </x:c>
      <x:c r="G521" s="11" t="str">
        <x:v>Media Control &amp; TikTok</x:v>
      </x:c>
      <x:c r="H521" s="11" t="n">
        <x:v>202506</x:v>
      </x:c>
      <x:c r="I521" s="11" t="str">
        <x:v>Complete</x:v>
      </x:c>
      <x:c r="J521" s="11" t="str">
        <x:v>Yes</x:v>
      </x:c>
    </x:row>
    <x:row r="522">
      <x:c r="A522" s="11" t="str">
        <x:v>2025-06</x:v>
      </x:c>
      <x:c r="B522" s="11" t="n">
        <x:v>14</x:v>
      </x:c>
      <x:c r="C522" s="11" t="str">
        <x:v>The Paradise Problem - Wenn das Herz den perfekten Plan durchkreuzt</x:v>
      </x:c>
      <x:c r="D522" s="11" t="str">
        <x:v>The Paradise Problem - Wenn das Herz den perfekten Plan durchkreuzt</x:v>
      </x:c>
      <x:c r="E522" s="11" t="str">
        <x:v>Christina Lauren</x:v>
      </x:c>
      <x:c r="F522" s="11" t="str">
        <x:v>Official #BookTok Top 20</x:v>
      </x:c>
      <x:c r="G522" s="11" t="str">
        <x:v>Media Control &amp; TikTok</x:v>
      </x:c>
      <x:c r="H522" s="11" t="n">
        <x:v>202506</x:v>
      </x:c>
      <x:c r="I522" s="11" t="str">
        <x:v>Complete</x:v>
      </x:c>
      <x:c r="J522" s="11" t="str">
        <x:v>Yes</x:v>
      </x:c>
    </x:row>
    <x:row r="523">
      <x:c r="A523" s="11" t="str">
        <x:v>2025-06</x:v>
      </x:c>
      <x:c r="B523" s="11" t="n">
        <x:v>15</x:v>
      </x:c>
      <x:c r="C523" s="11" t="str">
        <x:v>Die Mitternachtsbibliothek</x:v>
      </x:c>
      <x:c r="D523" s="11" t="str">
        <x:v>Die Mitternachtsbibliothek</x:v>
      </x:c>
      <x:c r="E523" s="11" t="str">
        <x:v>Matt Haig</x:v>
      </x:c>
      <x:c r="F523" s="11" t="str">
        <x:v>Official #BookTok Top 20</x:v>
      </x:c>
      <x:c r="G523" s="11" t="str">
        <x:v>Media Control &amp; TikTok</x:v>
      </x:c>
      <x:c r="H523" s="11" t="n">
        <x:v>202506</x:v>
      </x:c>
      <x:c r="I523" s="11" t="str">
        <x:v>Complete</x:v>
      </x:c>
      <x:c r="J523" s="11" t="str">
        <x:v>Yes</x:v>
      </x:c>
    </x:row>
    <x:row r="524">
      <x:c r="A524" s="11" t="str">
        <x:v>2025-06</x:v>
      </x:c>
      <x:c r="B524" s="11" t="n">
        <x:v>16</x:v>
      </x:c>
      <x:c r="C524" s="11" t="str">
        <x:v>Just for the Summer</x:v>
      </x:c>
      <x:c r="D524" s="11" t="str">
        <x:v>Just for the Summer</x:v>
      </x:c>
      <x:c r="E524" s="11" t="str">
        <x:v>Abby Jimenez</x:v>
      </x:c>
      <x:c r="F524" s="11" t="str">
        <x:v>Official #BookTok Top 20</x:v>
      </x:c>
      <x:c r="G524" s="11" t="str">
        <x:v>Media Control &amp; TikTok</x:v>
      </x:c>
      <x:c r="H524" s="11" t="n">
        <x:v>202506</x:v>
      </x:c>
      <x:c r="I524" s="11" t="str">
        <x:v>Complete</x:v>
      </x:c>
      <x:c r="J524" s="11" t="str">
        <x:v>Yes</x:v>
      </x:c>
    </x:row>
    <x:row r="525">
      <x:c r="A525" s="11" t="str">
        <x:v>2025-06</x:v>
      </x:c>
      <x:c r="B525" s="11" t="n">
        <x:v>17</x:v>
      </x:c>
      <x:c r="C525" s="11" t="str">
        <x:v>Throne of Glass - Königin der Finsternis</x:v>
      </x:c>
      <x:c r="D525" s="11" t="str">
        <x:v>Throne of Glass - Königin der Finsternis</x:v>
      </x:c>
      <x:c r="E525" s="11" t="str">
        <x:v>Sarah J. Maas</x:v>
      </x:c>
      <x:c r="F525" s="11" t="str">
        <x:v>Official #BookTok Top 20</x:v>
      </x:c>
      <x:c r="G525" s="11" t="str">
        <x:v>Media Control &amp; TikTok</x:v>
      </x:c>
      <x:c r="H525" s="11" t="n">
        <x:v>202506</x:v>
      </x:c>
      <x:c r="I525" s="11" t="str">
        <x:v>Complete</x:v>
      </x:c>
      <x:c r="J525" s="11" t="str">
        <x:v>Yes</x:v>
      </x:c>
    </x:row>
    <x:row r="526">
      <x:c r="A526" s="11" t="str">
        <x:v>2025-06</x:v>
      </x:c>
      <x:c r="B526" s="11" t="n">
        <x:v>18</x:v>
      </x:c>
      <x:c r="C526" s="11" t="str">
        <x:v>Boys of Tommen 5: Taming 7</x:v>
      </x:c>
      <x:c r="D526" s="11" t="str">
        <x:v>Boys of Tommen 5: Taming 7</x:v>
      </x:c>
      <x:c r="E526" s="11" t="str">
        <x:v>Chloe Walsh</x:v>
      </x:c>
      <x:c r="F526" s="11" t="str">
        <x:v>Official #BookTok Top 20</x:v>
      </x:c>
      <x:c r="G526" s="11" t="str">
        <x:v>Media Control &amp; TikTok</x:v>
      </x:c>
      <x:c r="H526" s="11" t="n">
        <x:v>202506</x:v>
      </x:c>
      <x:c r="I526" s="11" t="str">
        <x:v>Complete</x:v>
      </x:c>
      <x:c r="J526" s="11" t="str">
        <x:v>Yes</x:v>
      </x:c>
    </x:row>
    <x:row r="527">
      <x:c r="A527" s="11" t="str">
        <x:v>2025-06</x:v>
      </x:c>
      <x:c r="B527" s="11" t="n">
        <x:v>19</x:v>
      </x:c>
      <x:c r="C527" s="11" t="str">
        <x:v>Loverboy - Niemand liebt dich so wie ich</x:v>
      </x:c>
      <x:c r="D527" s="11" t="str">
        <x:v>Loverboy - Niemand liebt dich so wie ich</x:v>
      </x:c>
      <x:c r="E527" s="11" t="str">
        <x:v>Antonia Wesseling</x:v>
      </x:c>
      <x:c r="F527" s="11" t="str">
        <x:v>Official #BookTok Top 20</x:v>
      </x:c>
      <x:c r="G527" s="11" t="str">
        <x:v>Media Control &amp; TikTok</x:v>
      </x:c>
      <x:c r="H527" s="11" t="n">
        <x:v>202506</x:v>
      </x:c>
      <x:c r="I527" s="11" t="str">
        <x:v>Complete</x:v>
      </x:c>
      <x:c r="J527" s="11" t="str">
        <x:v>Yes</x:v>
      </x:c>
    </x:row>
    <x:row r="528">
      <x:c r="A528" s="11" t="str">
        <x:v>2025-06</x:v>
      </x:c>
      <x:c r="B528" s="11" t="n">
        <x:v>20</x:v>
      </x:c>
      <x:c r="C528" s="11" t="str">
        <x:v>Das Versprechen eines Sommertags</x:v>
      </x:c>
      <x:c r="D528" s="11" t="str">
        <x:v>Das Versprechen eines Sommertags</x:v>
      </x:c>
      <x:c r="E528" s="11" t="str">
        <x:v>Elena Sonnberg</x:v>
      </x:c>
      <x:c r="F528" s="11" t="str">
        <x:v>Official #BookTok Top 20</x:v>
      </x:c>
      <x:c r="G528" s="11" t="str">
        <x:v>Media Control &amp; TikTok</x:v>
      </x:c>
      <x:c r="H528" s="11" t="n">
        <x:v>202506</x:v>
      </x:c>
      <x:c r="I528" s="11" t="str">
        <x:v>Complete</x:v>
      </x:c>
      <x:c r="J528" s="11" t="str">
        <x:v>Yes</x:v>
      </x:c>
    </x:row>
    <x:row r="529">
      <x:c r="A529" s="11" t="str">
        <x:v>2025-07</x:v>
      </x:c>
      <x:c r="B529" s="11" t="n">
        <x:v>1</x:v>
      </x:c>
      <x:c r="C529" s="11" t="str">
        <x:v>Fourth Wing - Flammengeküsst (Bonuskapitel)</x:v>
      </x:c>
      <x:c r="D529" s="11" t="str">
        <x:v>Fourth Wing - Flammengeküsst</x:v>
      </x:c>
      <x:c r="E529" s="11" t="str">
        <x:v>Rebecca Yarros</x:v>
      </x:c>
      <x:c r="F529" s="11" t="str">
        <x:v>Official #BookTok Top 20</x:v>
      </x:c>
      <x:c r="G529" s="11" t="str">
        <x:v>Media Control &amp; TikTok</x:v>
      </x:c>
      <x:c r="H529" s="11" t="n">
        <x:v>202507</x:v>
      </x:c>
      <x:c r="I529" s="11" t="str">
        <x:v>Complete</x:v>
      </x:c>
      <x:c r="J529" s="11" t="str">
        <x:v>Yes</x:v>
      </x:c>
    </x:row>
    <x:row r="530">
      <x:c r="A530" s="11" t="str">
        <x:v>2025-07</x:v>
      </x:c>
      <x:c r="B530" s="11" t="n">
        <x:v>2</x:v>
      </x:c>
      <x:c r="C530" s="11" t="str">
        <x:v>Die Tribute von Panem L. Der Tag bricht an</x:v>
      </x:c>
      <x:c r="D530" s="11" t="str">
        <x:v>Die Tribute von Panem L. Der Tag bricht an</x:v>
      </x:c>
      <x:c r="E530" s="11" t="str">
        <x:v>Suzanne Collins</x:v>
      </x:c>
      <x:c r="F530" s="11" t="str">
        <x:v>Official #BookTok Top 20</x:v>
      </x:c>
      <x:c r="G530" s="11" t="str">
        <x:v>Media Control &amp; TikTok</x:v>
      </x:c>
      <x:c r="H530" s="11" t="n">
        <x:v>202507</x:v>
      </x:c>
      <x:c r="I530" s="11" t="str">
        <x:v>Complete</x:v>
      </x:c>
      <x:c r="J530" s="11" t="str">
        <x:v>Yes</x:v>
      </x:c>
    </x:row>
    <x:row r="531">
      <x:c r="A531" s="11" t="str">
        <x:v>2025-07</x:v>
      </x:c>
      <x:c r="B531" s="11" t="n">
        <x:v>3</x:v>
      </x:c>
      <x:c r="C531" s="11" t="str">
        <x:v>Throne of Glass - Der verwundete Krieger</x:v>
      </x:c>
      <x:c r="D531" s="11" t="str">
        <x:v>Throne of Glass - Der verwundete Krieger</x:v>
      </x:c>
      <x:c r="E531" s="11" t="str">
        <x:v>Sarah J. Maas</x:v>
      </x:c>
      <x:c r="F531" s="11" t="str">
        <x:v>Official #BookTok Top 20</x:v>
      </x:c>
      <x:c r="G531" s="11" t="str">
        <x:v>Media Control &amp; TikTok</x:v>
      </x:c>
      <x:c r="H531" s="11" t="n">
        <x:v>202507</x:v>
      </x:c>
      <x:c r="I531" s="11" t="str">
        <x:v>Complete</x:v>
      </x:c>
      <x:c r="J531" s="11" t="str">
        <x:v>Yes</x:v>
      </x:c>
    </x:row>
    <x:row r="532">
      <x:c r="A532" s="11" t="str">
        <x:v>2025-07</x:v>
      </x:c>
      <x:c r="B532" s="11" t="n">
        <x:v>4</x:v>
      </x:c>
      <x:c r="C532" s="11" t="str">
        <x:v>Not Quite Dead Yet</x:v>
      </x:c>
      <x:c r="D532" s="11" t="str">
        <x:v>Not Quite Dead Yet</x:v>
      </x:c>
      <x:c r="E532" s="11" t="str">
        <x:v>Holly Jackson</x:v>
      </x:c>
      <x:c r="F532" s="11" t="str">
        <x:v>Official #BookTok Top 20</x:v>
      </x:c>
      <x:c r="G532" s="11" t="str">
        <x:v>Media Control &amp; TikTok</x:v>
      </x:c>
      <x:c r="H532" s="11" t="n">
        <x:v>202507</x:v>
      </x:c>
      <x:c r="I532" s="11" t="str">
        <x:v>Complete</x:v>
      </x:c>
      <x:c r="J532" s="11" t="str">
        <x:v>Yes</x:v>
      </x:c>
    </x:row>
    <x:row r="533">
      <x:c r="A533" s="11" t="str">
        <x:v>2025-07</x:v>
      </x:c>
      <x:c r="B533" s="11" t="n">
        <x:v>5</x:v>
      </x:c>
      <x:c r="C533" s="11" t="str">
        <x:v>Crushing Souls (Driven Dreams-Dilogie)</x:v>
      </x:c>
      <x:c r="D533" s="11" t="str">
        <x:v>Crushing Souls (Driven Dreams-Dilogie)</x:v>
      </x:c>
      <x:c r="E533" s="11" t="str">
        <x:v>Carolin Wahl</x:v>
      </x:c>
      <x:c r="F533" s="11" t="str">
        <x:v>Official #BookTok Top 20</x:v>
      </x:c>
      <x:c r="G533" s="11" t="str">
        <x:v>Media Control &amp; TikTok</x:v>
      </x:c>
      <x:c r="H533" s="11" t="n">
        <x:v>202507</x:v>
      </x:c>
      <x:c r="I533" s="11" t="str">
        <x:v>Complete</x:v>
      </x:c>
      <x:c r="J533" s="11" t="str">
        <x:v>Yes</x:v>
      </x:c>
    </x:row>
    <x:row r="534">
      <x:c r="A534" s="11" t="str">
        <x:v>2025-07</x:v>
      </x:c>
      <x:c r="B534" s="11" t="n">
        <x:v>6</x:v>
      </x:c>
      <x:c r="C534" s="11" t="str">
        <x:v>Frankie</x:v>
      </x:c>
      <x:c r="D534" s="11" t="str">
        <x:v>Frankie</x:v>
      </x:c>
      <x:c r="E534" s="11" t="str">
        <x:v>Jochen Gutsch, Maxim Leo</x:v>
      </x:c>
      <x:c r="F534" s="11" t="str">
        <x:v>Official #BookTok Top 20</x:v>
      </x:c>
      <x:c r="G534" s="11" t="str">
        <x:v>Media Control &amp; TikTok</x:v>
      </x:c>
      <x:c r="H534" s="11" t="n">
        <x:v>202507</x:v>
      </x:c>
      <x:c r="I534" s="11" t="str">
        <x:v>Complete</x:v>
      </x:c>
      <x:c r="J534" s="11" t="str">
        <x:v>Yes</x:v>
      </x:c>
    </x:row>
    <x:row r="535">
      <x:c r="A535" s="11" t="str">
        <x:v>2025-07</x:v>
      </x:c>
      <x:c r="B535" s="11" t="n">
        <x:v>7</x:v>
      </x:c>
      <x:c r="C535" s="11" t="str">
        <x:v>Rose in Chains</x:v>
      </x:c>
      <x:c r="D535" s="11" t="str">
        <x:v>Rose in Chains</x:v>
      </x:c>
      <x:c r="E535" s="11" t="str">
        <x:v>Julie Soto</x:v>
      </x:c>
      <x:c r="F535" s="11" t="str">
        <x:v>Official #BookTok Top 20</x:v>
      </x:c>
      <x:c r="G535" s="11" t="str">
        <x:v>Media Control &amp; TikTok</x:v>
      </x:c>
      <x:c r="H535" s="11" t="n">
        <x:v>202507</x:v>
      </x:c>
      <x:c r="I535" s="11" t="str">
        <x:v>Complete</x:v>
      </x:c>
      <x:c r="J535" s="11" t="str">
        <x:v>Yes</x:v>
      </x:c>
    </x:row>
    <x:row r="536">
      <x:c r="A536" s="11" t="str">
        <x:v>2025-07</x:v>
      </x:c>
      <x:c r="B536" s="11" t="n">
        <x:v>8</x:v>
      </x:c>
      <x:c r="C536" s="11" t="str">
        <x:v>Very Bad Queen</x:v>
      </x:c>
      <x:c r="D536" s="11" t="str">
        <x:v>Very Bad Queen</x:v>
      </x:c>
      <x:c r="E536" s="11" t="str">
        <x:v>J. S. Wonda</x:v>
      </x:c>
      <x:c r="F536" s="11" t="str">
        <x:v>Official #BookTok Top 20</x:v>
      </x:c>
      <x:c r="G536" s="11" t="str">
        <x:v>Media Control &amp; TikTok</x:v>
      </x:c>
      <x:c r="H536" s="11" t="n">
        <x:v>202507</x:v>
      </x:c>
      <x:c r="I536" s="11" t="str">
        <x:v>Complete</x:v>
      </x:c>
      <x:c r="J536" s="11" t="str">
        <x:v>Yes</x:v>
      </x:c>
    </x:row>
    <x:row r="537">
      <x:c r="A537" s="11" t="str">
        <x:v>2025-07</x:v>
      </x:c>
      <x:c r="B537" s="11" t="n">
        <x:v>9</x:v>
      </x:c>
      <x:c r="C537" s="11" t="str">
        <x:v>The Darlington - Henry &amp; Kate</x:v>
      </x:c>
      <x:c r="D537" s="11" t="str">
        <x:v>The Darlington - Henry &amp; Kate</x:v>
      </x:c>
      <x:c r="E537" s="11" t="str">
        <x:v>Laura Kneidl</x:v>
      </x:c>
      <x:c r="F537" s="11" t="str">
        <x:v>Official #BookTok Top 20</x:v>
      </x:c>
      <x:c r="G537" s="11" t="str">
        <x:v>Media Control &amp; TikTok</x:v>
      </x:c>
      <x:c r="H537" s="11" t="n">
        <x:v>202507</x:v>
      </x:c>
      <x:c r="I537" s="11" t="str">
        <x:v>Complete</x:v>
      </x:c>
      <x:c r="J537" s="11" t="str">
        <x:v>Yes</x:v>
      </x:c>
    </x:row>
    <x:row r="538">
      <x:c r="A538" s="11" t="str">
        <x:v>2025-07</x:v>
      </x:c>
      <x:c r="B538" s="11" t="n">
        <x:v>10</x:v>
      </x:c>
      <x:c r="C538" s="11" t="str">
        <x:v>Ikigai</x:v>
      </x:c>
      <x:c r="D538" s="11" t="str">
        <x:v>Ikigai</x:v>
      </x:c>
      <x:c r="E538" s="11" t="str">
        <x:v>Ken Mogi</x:v>
      </x:c>
      <x:c r="F538" s="11" t="str">
        <x:v>Official #BookTok Top 20</x:v>
      </x:c>
      <x:c r="G538" s="11" t="str">
        <x:v>Media Control &amp; TikTok</x:v>
      </x:c>
      <x:c r="H538" s="11" t="n">
        <x:v>202507</x:v>
      </x:c>
      <x:c r="I538" s="11" t="str">
        <x:v>Complete</x:v>
      </x:c>
      <x:c r="J538" s="11" t="str">
        <x:v>Yes</x:v>
      </x:c>
    </x:row>
    <x:row r="539">
      <x:c r="A539" s="11" t="str">
        <x:v>2025-07</x:v>
      </x:c>
      <x:c r="B539" s="11" t="n">
        <x:v>11</x:v>
      </x:c>
      <x:c r="C539" s="11" t="str">
        <x:v>»Mama, bitte lern Deutsch«</x:v>
      </x:c>
      <x:c r="D539" s="11" t="str">
        <x:v>»Mama, bitte lern Deutsch«</x:v>
      </x:c>
      <x:c r="E539" s="11" t="str">
        <x:v>Tahsim Durgun</x:v>
      </x:c>
      <x:c r="F539" s="11" t="str">
        <x:v>Official #BookTok Top 20</x:v>
      </x:c>
      <x:c r="G539" s="11" t="str">
        <x:v>Media Control &amp; TikTok</x:v>
      </x:c>
      <x:c r="H539" s="11" t="n">
        <x:v>202507</x:v>
      </x:c>
      <x:c r="I539" s="11" t="str">
        <x:v>Complete</x:v>
      </x:c>
      <x:c r="J539" s="11" t="str">
        <x:v>Yes</x:v>
      </x:c>
    </x:row>
    <x:row r="540">
      <x:c r="A540" s="11" t="str">
        <x:v>2025-07</x:v>
      </x:c>
      <x:c r="B540" s="11" t="n">
        <x:v>12</x:v>
      </x:c>
      <x:c r="C540" s="11" t="str">
        <x:v>Today I’ll Fall For Him (3)</x:v>
      </x:c>
      <x:c r="D540" s="11" t="str">
        <x:v>Today I’ll Fall For Him (3)</x:v>
      </x:c>
      <x:c r="E540" s="11" t="str">
        <x:v>Bianca Wege</x:v>
      </x:c>
      <x:c r="F540" s="11" t="str">
        <x:v>Official #BookTok Top 20</x:v>
      </x:c>
      <x:c r="G540" s="11" t="str">
        <x:v>Media Control &amp; TikTok</x:v>
      </x:c>
      <x:c r="H540" s="11" t="n">
        <x:v>202507</x:v>
      </x:c>
      <x:c r="I540" s="11" t="str">
        <x:v>Complete</x:v>
      </x:c>
      <x:c r="J540" s="11" t="str">
        <x:v>Yes</x:v>
      </x:c>
    </x:row>
    <x:row r="541">
      <x:c r="A541" s="11" t="str">
        <x:v>2025-07</x:v>
      </x:c>
      <x:c r="B541" s="11" t="n">
        <x:v>13</x:v>
      </x:c>
      <x:c r="C541" s="11" t="str">
        <x:v>22 Bahnen</x:v>
      </x:c>
      <x:c r="D541" s="11" t="str">
        <x:v>22 Bahnen</x:v>
      </x:c>
      <x:c r="E541" s="11" t="str">
        <x:v>Caroline Wahl</x:v>
      </x:c>
      <x:c r="F541" s="11" t="str">
        <x:v>Official #BookTok Top 20</x:v>
      </x:c>
      <x:c r="G541" s="11" t="str">
        <x:v>Media Control &amp; TikTok</x:v>
      </x:c>
      <x:c r="H541" s="11" t="n">
        <x:v>202507</x:v>
      </x:c>
      <x:c r="I541" s="11" t="str">
        <x:v>Complete</x:v>
      </x:c>
      <x:c r="J541" s="11" t="str">
        <x:v>Yes</x:v>
      </x:c>
    </x:row>
    <x:row r="542">
      <x:c r="A542" s="11" t="str">
        <x:v>2025-07</x:v>
      </x:c>
      <x:c r="B542" s="11" t="n">
        <x:v>14</x:v>
      </x:c>
      <x:c r="C542" s="11" t="str">
        <x:v>Problematic Summer Romance - Die hitzige Unzulässigkeit der Liebe</x:v>
      </x:c>
      <x:c r="D542" s="11" t="str">
        <x:v>Problematic Summer Romance - Die hitzige Unzulässigkeit der Liebe</x:v>
      </x:c>
      <x:c r="E542" s="11" t="str">
        <x:v>Ali Hazelwood</x:v>
      </x:c>
      <x:c r="F542" s="11" t="str">
        <x:v>Official #BookTok Top 20</x:v>
      </x:c>
      <x:c r="G542" s="11" t="str">
        <x:v>Media Control &amp; TikTok</x:v>
      </x:c>
      <x:c r="H542" s="11" t="n">
        <x:v>202507</x:v>
      </x:c>
      <x:c r="I542" s="11" t="str">
        <x:v>Complete</x:v>
      </x:c>
      <x:c r="J542" s="11" t="str">
        <x:v>Yes</x:v>
      </x:c>
    </x:row>
    <x:row r="543">
      <x:c r="A543" s="11" t="str">
        <x:v>2025-07</x:v>
      </x:c>
      <x:c r="B543" s="11" t="n">
        <x:v>15</x:v>
      </x:c>
      <x:c r="C543" s="11" t="str">
        <x:v>Windstärke 17</x:v>
      </x:c>
      <x:c r="D543" s="11" t="str">
        <x:v>Windstärke 17</x:v>
      </x:c>
      <x:c r="E543" s="11" t="str">
        <x:v>Caroline Wahl</x:v>
      </x:c>
      <x:c r="F543" s="11" t="str">
        <x:v>Official #BookTok Top 20</x:v>
      </x:c>
      <x:c r="G543" s="11" t="str">
        <x:v>Media Control &amp; TikTok</x:v>
      </x:c>
      <x:c r="H543" s="11" t="n">
        <x:v>202507</x:v>
      </x:c>
      <x:c r="I543" s="11" t="str">
        <x:v>Complete</x:v>
      </x:c>
      <x:c r="J543" s="11" t="str">
        <x:v>Yes</x:v>
      </x:c>
    </x:row>
    <x:row r="544">
      <x:c r="A544" s="11" t="str">
        <x:v>2025-07</x:v>
      </x:c>
      <x:c r="B544" s="11" t="n">
        <x:v>16</x:v>
      </x:c>
      <x:c r="C544" s="11" t="str">
        <x:v>Das Kind in dir muss Heimat finden</x:v>
      </x:c>
      <x:c r="D544" s="11" t="str">
        <x:v>Das Kind in dir muss Heimat finden</x:v>
      </x:c>
      <x:c r="E544" s="11" t="str">
        <x:v>Stefanie Stahl</x:v>
      </x:c>
      <x:c r="F544" s="11" t="str">
        <x:v>Official #BookTok Top 20</x:v>
      </x:c>
      <x:c r="G544" s="11" t="str">
        <x:v>Media Control &amp; TikTok</x:v>
      </x:c>
      <x:c r="H544" s="11" t="n">
        <x:v>202507</x:v>
      </x:c>
      <x:c r="I544" s="11" t="str">
        <x:v>Complete</x:v>
      </x:c>
      <x:c r="J544" s="11" t="str">
        <x:v>Yes</x:v>
      </x:c>
    </x:row>
    <x:row r="545">
      <x:c r="A545" s="11" t="str">
        <x:v>2025-07</x:v>
      </x:c>
      <x:c r="B545" s="11" t="n">
        <x:v>17</x:v>
      </x:c>
      <x:c r="C545" s="11" t="str">
        <x:v>Die 1%-Methode - Minimale Veränderung, maximale Wirkung</x:v>
      </x:c>
      <x:c r="D545" s="11" t="str">
        <x:v>Die 1%-Methode - Minimale Veränderung, maximale Wirkung</x:v>
      </x:c>
      <x:c r="E545" s="11" t="str">
        <x:v>James Clear</x:v>
      </x:c>
      <x:c r="F545" s="11" t="str">
        <x:v>Official #BookTok Top 20</x:v>
      </x:c>
      <x:c r="G545" s="11" t="str">
        <x:v>Media Control &amp; TikTok</x:v>
      </x:c>
      <x:c r="H545" s="11" t="n">
        <x:v>202507</x:v>
      </x:c>
      <x:c r="I545" s="11" t="str">
        <x:v>Complete</x:v>
      </x:c>
      <x:c r="J545" s="11" t="str">
        <x:v>Yes</x:v>
      </x:c>
    </x:row>
    <x:row r="546">
      <x:c r="A546" s="11" t="str">
        <x:v>2025-07</x:v>
      </x:c>
      <x:c r="B546" s="11" t="n">
        <x:v>18</x:v>
      </x:c>
      <x:c r="C546" s="11" t="str">
        <x:v>Die Mitternachtsbibliothek</x:v>
      </x:c>
      <x:c r="D546" s="11" t="str">
        <x:v>Die Mitternachtsbibliothek</x:v>
      </x:c>
      <x:c r="E546" s="11" t="str">
        <x:v>Matt Haig</x:v>
      </x:c>
      <x:c r="F546" s="11" t="str">
        <x:v>Official #BookTok Top 20</x:v>
      </x:c>
      <x:c r="G546" s="11" t="str">
        <x:v>Media Control &amp; TikTok</x:v>
      </x:c>
      <x:c r="H546" s="11" t="n">
        <x:v>202507</x:v>
      </x:c>
      <x:c r="I546" s="11" t="str">
        <x:v>Complete</x:v>
      </x:c>
      <x:c r="J546" s="11" t="str">
        <x:v>Yes</x:v>
      </x:c>
    </x:row>
    <x:row r="547">
      <x:c r="A547" s="11" t="str">
        <x:v>2025-07</x:v>
      </x:c>
      <x:c r="B547" s="11" t="n">
        <x:v>19</x:v>
      </x:c>
      <x:c r="C547" s="11" t="str">
        <x:v>Was wir leise hofften</x:v>
      </x:c>
      <x:c r="D547" s="11" t="str">
        <x:v>Was wir leise hofften</x:v>
      </x:c>
      <x:c r="E547" s="11" t="str">
        <x:v>Brittainy Cherry</x:v>
      </x:c>
      <x:c r="F547" s="11" t="str">
        <x:v>Official #BookTok Top 20</x:v>
      </x:c>
      <x:c r="G547" s="11" t="str">
        <x:v>Media Control &amp; TikTok</x:v>
      </x:c>
      <x:c r="H547" s="11" t="n">
        <x:v>202507</x:v>
      </x:c>
      <x:c r="I547" s="11" t="str">
        <x:v>Complete</x:v>
      </x:c>
      <x:c r="J547" s="11" t="str">
        <x:v>Yes</x:v>
      </x:c>
    </x:row>
    <x:row r="548">
      <x:c r="A548" s="11" t="str">
        <x:v>2025-07</x:v>
      </x:c>
      <x:c r="B548" s="11" t="n">
        <x:v>20</x:v>
      </x:c>
      <x:c r="C548" s="11" t="str">
        <x:v>Glück ist ganz nach meinem Geschmack</x:v>
      </x:c>
      <x:c r="D548" s="11" t="str">
        <x:v>Glück ist ganz nach meinem Geschmack</x:v>
      </x:c>
      <x:c r="E548" s="11" t="str">
        <x:v>Claudia Schaumann</x:v>
      </x:c>
      <x:c r="F548" s="11" t="str">
        <x:v>Official #BookTok Top 20</x:v>
      </x:c>
      <x:c r="G548" s="11" t="str">
        <x:v>Media Control &amp; TikTok</x:v>
      </x:c>
      <x:c r="H548" s="11" t="n">
        <x:v>202507</x:v>
      </x:c>
      <x:c r="I548" s="11" t="str">
        <x:v>Complete</x:v>
      </x:c>
      <x:c r="J548" s="11" t="str">
        <x:v>Yes</x:v>
      </x:c>
    </x:row>
    <x:row r="549">
      <x:c r="A549" s="11" t="str">
        <x:v>2025-08</x:v>
      </x:c>
      <x:c r="B549" s="11" t="n">
        <x:v>1</x:v>
      </x:c>
      <x:c r="C549" s="11" t="str">
        <x:v>Die Tribute von Panem L. Der Tag bricht an</x:v>
      </x:c>
      <x:c r="D549" s="11" t="str">
        <x:v>Die Tribute von Panem L. Der Tag bricht an</x:v>
      </x:c>
      <x:c r="E549" s="11" t="str">
        <x:v>Suzanne Collins</x:v>
      </x:c>
      <x:c r="F549" s="11" t="str">
        <x:v>Official #BookTok Top 20</x:v>
      </x:c>
      <x:c r="G549" s="11" t="str">
        <x:v>Media Control &amp; TikTok</x:v>
      </x:c>
      <x:c r="H549" s="11" t="n">
        <x:v>202508</x:v>
      </x:c>
      <x:c r="I549" s="11" t="str">
        <x:v>Complete</x:v>
      </x:c>
      <x:c r="J549" s="11" t="str">
        <x:v>Yes</x:v>
      </x:c>
    </x:row>
    <x:row r="550">
      <x:c r="A550" s="11" t="str">
        <x:v>2025-08</x:v>
      </x:c>
      <x:c r="B550" s="11" t="n">
        <x:v>2</x:v>
      </x:c>
      <x:c r="C550" s="11" t="str">
        <x:v>22 Bahnen</x:v>
      </x:c>
      <x:c r="D550" s="11" t="str">
        <x:v>22 Bahnen</x:v>
      </x:c>
      <x:c r="E550" s="11" t="str">
        <x:v>Caroline Wahl</x:v>
      </x:c>
      <x:c r="F550" s="11" t="str">
        <x:v>Official #BookTok Top 20</x:v>
      </x:c>
      <x:c r="G550" s="11" t="str">
        <x:v>Media Control &amp; TikTok</x:v>
      </x:c>
      <x:c r="H550" s="11" t="n">
        <x:v>202508</x:v>
      </x:c>
      <x:c r="I550" s="11" t="str">
        <x:v>Complete</x:v>
      </x:c>
      <x:c r="J550" s="11" t="str">
        <x:v>Yes</x:v>
      </x:c>
    </x:row>
    <x:row r="551">
      <x:c r="A551" s="11" t="str">
        <x:v>2025-08</x:v>
      </x:c>
      <x:c r="B551" s="11" t="n">
        <x:v>3</x:v>
      </x:c>
      <x:c r="C551" s="11" t="str">
        <x:v>Rewind It Back</x:v>
      </x:c>
      <x:c r="D551" s="11" t="str">
        <x:v>Rewind It Back</x:v>
      </x:c>
      <x:c r="E551" s="11" t="str">
        <x:v>Liz Tomforde</x:v>
      </x:c>
      <x:c r="F551" s="11" t="str">
        <x:v>Official #BookTok Top 20</x:v>
      </x:c>
      <x:c r="G551" s="11" t="str">
        <x:v>Media Control &amp; TikTok</x:v>
      </x:c>
      <x:c r="H551" s="11" t="n">
        <x:v>202508</x:v>
      </x:c>
      <x:c r="I551" s="11" t="str">
        <x:v>Complete</x:v>
      </x:c>
      <x:c r="J551" s="11" t="str">
        <x:v>Yes</x:v>
      </x:c>
    </x:row>
    <x:row r="552">
      <x:c r="A552" s="11" t="str">
        <x:v>2025-08</x:v>
      </x:c>
      <x:c r="B552" s="11" t="n">
        <x:v>4</x:v>
      </x:c>
      <x:c r="C552" s="11" t="str">
        <x:v>Der Lehrer – Will er dir helfen oder will er deinen Tod?</x:v>
      </x:c>
      <x:c r="D552" s="11" t="str">
        <x:v>Der Lehrer – Will er dir helfen oder will er deinen Tod?</x:v>
      </x:c>
      <x:c r="E552" s="11" t="str">
        <x:v>Freida McFadden</x:v>
      </x:c>
      <x:c r="F552" s="11" t="str">
        <x:v>Official #BookTok Top 20</x:v>
      </x:c>
      <x:c r="G552" s="11" t="str">
        <x:v>Media Control &amp; TikTok</x:v>
      </x:c>
      <x:c r="H552" s="11" t="n">
        <x:v>202508</x:v>
      </x:c>
      <x:c r="I552" s="11" t="str">
        <x:v>Complete</x:v>
      </x:c>
      <x:c r="J552" s="11" t="str">
        <x:v>Yes</x:v>
      </x:c>
    </x:row>
    <x:row r="553">
      <x:c r="A553" s="11" t="str">
        <x:v>2025-08</x:v>
      </x:c>
      <x:c r="B553" s="11" t="n">
        <x:v>5</x:v>
      </x:c>
      <x:c r="C553" s="11" t="str">
        <x:v>Problematic Summer Romance - Die hitzige Unzulässigkeit der Liebe</x:v>
      </x:c>
      <x:c r="D553" s="11" t="str">
        <x:v>Problematic Summer Romance - Die hitzige Unzulässigkeit der Liebe</x:v>
      </x:c>
      <x:c r="E553" s="11" t="str">
        <x:v>Ali Hazelwood</x:v>
      </x:c>
      <x:c r="F553" s="11" t="str">
        <x:v>Official #BookTok Top 20</x:v>
      </x:c>
      <x:c r="G553" s="11" t="str">
        <x:v>Media Control &amp; TikTok</x:v>
      </x:c>
      <x:c r="H553" s="11" t="n">
        <x:v>202508</x:v>
      </x:c>
      <x:c r="I553" s="11" t="str">
        <x:v>Complete</x:v>
      </x:c>
      <x:c r="J553" s="11" t="str">
        <x:v>Yes</x:v>
      </x:c>
    </x:row>
    <x:row r="554">
      <x:c r="A554" s="11" t="str">
        <x:v>2025-08</x:v>
      </x:c>
      <x:c r="B554" s="11" t="n">
        <x:v>6</x:v>
      </x:c>
      <x:c r="C554" s="11" t="str">
        <x:v>Not Quite Dead Yet</x:v>
      </x:c>
      <x:c r="D554" s="11" t="str">
        <x:v>Not Quite Dead Yet</x:v>
      </x:c>
      <x:c r="E554" s="11" t="str">
        <x:v>Holly Jackson</x:v>
      </x:c>
      <x:c r="F554" s="11" t="str">
        <x:v>Official #BookTok Top 20</x:v>
      </x:c>
      <x:c r="G554" s="11" t="str">
        <x:v>Media Control &amp; TikTok</x:v>
      </x:c>
      <x:c r="H554" s="11" t="n">
        <x:v>202508</x:v>
      </x:c>
      <x:c r="I554" s="11" t="str">
        <x:v>Complete</x:v>
      </x:c>
      <x:c r="J554" s="11" t="str">
        <x:v>Yes</x:v>
      </x:c>
    </x:row>
    <x:row r="555">
      <x:c r="A555" s="11" t="str">
        <x:v>2025-08</x:v>
      </x:c>
      <x:c r="B555" s="11" t="n">
        <x:v>7</x:v>
      </x:c>
      <x:c r="C555" s="11" t="str">
        <x:v>Crushing Souls (Driven Dreams-Dilogie)</x:v>
      </x:c>
      <x:c r="D555" s="11" t="str">
        <x:v>Crushing Souls (Driven Dreams-Dilogie)</x:v>
      </x:c>
      <x:c r="E555" s="11" t="str">
        <x:v>Carolin Wahl</x:v>
      </x:c>
      <x:c r="F555" s="11" t="str">
        <x:v>Official #BookTok Top 20</x:v>
      </x:c>
      <x:c r="G555" s="11" t="str">
        <x:v>Media Control &amp; TikTok</x:v>
      </x:c>
      <x:c r="H555" s="11" t="n">
        <x:v>202508</x:v>
      </x:c>
      <x:c r="I555" s="11" t="str">
        <x:v>Complete</x:v>
      </x:c>
      <x:c r="J555" s="11" t="str">
        <x:v>Yes</x:v>
      </x:c>
    </x:row>
    <x:row r="556">
      <x:c r="A556" s="11" t="str">
        <x:v>2025-08</x:v>
      </x:c>
      <x:c r="B556" s="11" t="n">
        <x:v>8</x:v>
      </x:c>
      <x:c r="C556" s="11" t="str">
        <x:v>Frankie</x:v>
      </x:c>
      <x:c r="D556" s="11" t="str">
        <x:v>Frankie</x:v>
      </x:c>
      <x:c r="E556" s="11" t="str">
        <x:v>Jochen Gutsch, Maxim Leo</x:v>
      </x:c>
      <x:c r="F556" s="11" t="str">
        <x:v>Official #BookTok Top 20</x:v>
      </x:c>
      <x:c r="G556" s="11" t="str">
        <x:v>Media Control &amp; TikTok</x:v>
      </x:c>
      <x:c r="H556" s="11" t="n">
        <x:v>202508</x:v>
      </x:c>
      <x:c r="I556" s="11" t="str">
        <x:v>Complete</x:v>
      </x:c>
      <x:c r="J556" s="11" t="str">
        <x:v>Yes</x:v>
      </x:c>
    </x:row>
    <x:row r="557">
      <x:c r="A557" s="11" t="str">
        <x:v>2025-08</x:v>
      </x:c>
      <x:c r="B557" s="11" t="n">
        <x:v>9</x:v>
      </x:c>
      <x:c r="C557" s="11" t="str">
        <x:v>Windstärke 17</x:v>
      </x:c>
      <x:c r="D557" s="11" t="str">
        <x:v>Windstärke 17</x:v>
      </x:c>
      <x:c r="E557" s="11" t="str">
        <x:v>Caroline Wahl</x:v>
      </x:c>
      <x:c r="F557" s="11" t="str">
        <x:v>Official #BookTok Top 20</x:v>
      </x:c>
      <x:c r="G557" s="11" t="str">
        <x:v>Media Control &amp; TikTok</x:v>
      </x:c>
      <x:c r="H557" s="11" t="n">
        <x:v>202508</x:v>
      </x:c>
      <x:c r="I557" s="11" t="str">
        <x:v>Complete</x:v>
      </x:c>
      <x:c r="J557" s="11" t="str">
        <x:v>Yes</x:v>
      </x:c>
    </x:row>
    <x:row r="558">
      <x:c r="A558" s="11" t="str">
        <x:v>2025-08</x:v>
      </x:c>
      <x:c r="B558" s="11" t="n">
        <x:v>10</x:v>
      </x:c>
      <x:c r="C558" s="11" t="str">
        <x:v>Just for the Summer</x:v>
      </x:c>
      <x:c r="D558" s="11" t="str">
        <x:v>Just for the Summer</x:v>
      </x:c>
      <x:c r="E558" s="11" t="str">
        <x:v>Abby Jimenez</x:v>
      </x:c>
      <x:c r="F558" s="11" t="str">
        <x:v>Official #BookTok Top 20</x:v>
      </x:c>
      <x:c r="G558" s="11" t="str">
        <x:v>Media Control &amp; TikTok</x:v>
      </x:c>
      <x:c r="H558" s="11" t="n">
        <x:v>202508</x:v>
      </x:c>
      <x:c r="I558" s="11" t="str">
        <x:v>Complete</x:v>
      </x:c>
      <x:c r="J558" s="11" t="str">
        <x:v>Yes</x:v>
      </x:c>
    </x:row>
    <x:row r="559">
      <x:c r="A559" s="11" t="str">
        <x:v>2025-08</x:v>
      </x:c>
      <x:c r="B559" s="11" t="n">
        <x:v>11</x:v>
      </x:c>
      <x:c r="C559" s="11" t="str">
        <x:v>Blackened Blade 1: The Blackened Blade</x:v>
      </x:c>
      <x:c r="D559" s="11" t="str">
        <x:v>Blackened Blade 1: The Blackened Blade</x:v>
      </x:c>
      <x:c r="E559" s="11" t="str">
        <x:v>Isla Davon</x:v>
      </x:c>
      <x:c r="F559" s="11" t="str">
        <x:v>Official #BookTok Top 20</x:v>
      </x:c>
      <x:c r="G559" s="11" t="str">
        <x:v>Media Control &amp; TikTok</x:v>
      </x:c>
      <x:c r="H559" s="11" t="n">
        <x:v>202508</x:v>
      </x:c>
      <x:c r="I559" s="11" t="str">
        <x:v>Complete</x:v>
      </x:c>
      <x:c r="J559" s="11" t="str">
        <x:v>Yes</x:v>
      </x:c>
    </x:row>
    <x:row r="560">
      <x:c r="A560" s="11" t="str">
        <x:v>2025-08</x:v>
      </x:c>
      <x:c r="B560" s="11" t="n">
        <x:v>12</x:v>
      </x:c>
      <x:c r="C560" s="11" t="str">
        <x:v>Broken Prince</x:v>
      </x:c>
      <x:c r="D560" s="11" t="str">
        <x:v>Broken Prince</x:v>
      </x:c>
      <x:c r="E560" s="11" t="str">
        <x:v>Anya Omah</x:v>
      </x:c>
      <x:c r="F560" s="11" t="str">
        <x:v>Official #BookTok Top 20</x:v>
      </x:c>
      <x:c r="G560" s="11" t="str">
        <x:v>Media Control &amp; TikTok</x:v>
      </x:c>
      <x:c r="H560" s="11" t="n">
        <x:v>202508</x:v>
      </x:c>
      <x:c r="I560" s="11" t="str">
        <x:v>Complete</x:v>
      </x:c>
      <x:c r="J560" s="11" t="str">
        <x:v>Yes</x:v>
      </x:c>
    </x:row>
    <x:row r="561">
      <x:c r="A561" s="11" t="str">
        <x:v>2025-08</x:v>
      </x:c>
      <x:c r="B561" s="11" t="n">
        <x:v>13</x:v>
      </x:c>
      <x:c r="C561" s="11" t="str">
        <x:v>Powerless – Der Thron</x:v>
      </x:c>
      <x:c r="D561" s="11" t="str">
        <x:v>Powerless – Der Thron</x:v>
      </x:c>
      <x:c r="E561" s="11" t="str">
        <x:v>Lauren Roberts</x:v>
      </x:c>
      <x:c r="F561" s="11" t="str">
        <x:v>Official #BookTok Top 20</x:v>
      </x:c>
      <x:c r="G561" s="11" t="str">
        <x:v>Media Control &amp; TikTok</x:v>
      </x:c>
      <x:c r="H561" s="11" t="n">
        <x:v>202508</x:v>
      </x:c>
      <x:c r="I561" s="11" t="str">
        <x:v>Complete</x:v>
      </x:c>
      <x:c r="J561" s="11" t="str">
        <x:v>Yes</x:v>
      </x:c>
    </x:row>
    <x:row r="562">
      <x:c r="A562" s="11" t="str">
        <x:v>2025-08</x:v>
      </x:c>
      <x:c r="B562" s="11" t="n">
        <x:v>14</x:v>
      </x:c>
      <x:c r="C562" s="11" t="str">
        <x:v>Fourth Wing - Flammengeküsst (Bonuskapitel)</x:v>
      </x:c>
      <x:c r="D562" s="11" t="str">
        <x:v>Fourth Wing - Flammengeküsst</x:v>
      </x:c>
      <x:c r="E562" s="11" t="str">
        <x:v>Rebecca Yarros</x:v>
      </x:c>
      <x:c r="F562" s="11" t="str">
        <x:v>Official #BookTok Top 20</x:v>
      </x:c>
      <x:c r="G562" s="11" t="str">
        <x:v>Media Control &amp; TikTok</x:v>
      </x:c>
      <x:c r="H562" s="11" t="n">
        <x:v>202508</x:v>
      </x:c>
      <x:c r="I562" s="11" t="str">
        <x:v>Complete</x:v>
      </x:c>
      <x:c r="J562" s="11" t="str">
        <x:v>Yes</x:v>
      </x:c>
    </x:row>
    <x:row r="563">
      <x:c r="A563" s="11" t="str">
        <x:v>2025-08</x:v>
      </x:c>
      <x:c r="B563" s="11" t="n">
        <x:v>15</x:v>
      </x:c>
      <x:c r="C563" s="11" t="str">
        <x:v>Die LET THEM Theorie</x:v>
      </x:c>
      <x:c r="D563" s="11" t="str">
        <x:v>Die LET THEM Theorie</x:v>
      </x:c>
      <x:c r="E563" s="11" t="str">
        <x:v>Mel Robbins, Sawyer Robbins</x:v>
      </x:c>
      <x:c r="F563" s="11" t="str">
        <x:v>Official #BookTok Top 20</x:v>
      </x:c>
      <x:c r="G563" s="11" t="str">
        <x:v>Media Control &amp; TikTok</x:v>
      </x:c>
      <x:c r="H563" s="11" t="n">
        <x:v>202508</x:v>
      </x:c>
      <x:c r="I563" s="11" t="str">
        <x:v>Complete</x:v>
      </x:c>
      <x:c r="J563" s="11" t="str">
        <x:v>Yes</x:v>
      </x:c>
    </x:row>
    <x:row r="564">
      <x:c r="A564" s="11" t="str">
        <x:v>2025-08</x:v>
      </x:c>
      <x:c r="B564" s="11" t="n">
        <x:v>16</x:v>
      </x:c>
      <x:c r="C564" s="11" t="str">
        <x:v>The Darlington - Henry &amp; Kate</x:v>
      </x:c>
      <x:c r="D564" s="11" t="str">
        <x:v>The Darlington - Henry &amp; Kate</x:v>
      </x:c>
      <x:c r="E564" s="11" t="str">
        <x:v>Laura Kneidl</x:v>
      </x:c>
      <x:c r="F564" s="11" t="str">
        <x:v>Official #BookTok Top 20</x:v>
      </x:c>
      <x:c r="G564" s="11" t="str">
        <x:v>Media Control &amp; TikTok</x:v>
      </x:c>
      <x:c r="H564" s="11" t="n">
        <x:v>202508</x:v>
      </x:c>
      <x:c r="I564" s="11" t="str">
        <x:v>Complete</x:v>
      </x:c>
      <x:c r="J564" s="11" t="str">
        <x:v>Yes</x:v>
      </x:c>
    </x:row>
    <x:row r="565">
      <x:c r="A565" s="11" t="str">
        <x:v>2025-08</x:v>
      </x:c>
      <x:c r="B565" s="11" t="n">
        <x:v>17</x:v>
      </x:c>
      <x:c r="C565" s="11" t="str">
        <x:v>It Takes a Monster. Dragonblood Academy</x:v>
      </x:c>
      <x:c r="D565" s="11" t="str">
        <x:v>It Takes a Monster. Dragonblood Academy</x:v>
      </x:c>
      <x:c r="E565" s="11" t="str">
        <x:v>Karolyn Ciseau</x:v>
      </x:c>
      <x:c r="F565" s="11" t="str">
        <x:v>Official #BookTok Top 20</x:v>
      </x:c>
      <x:c r="G565" s="11" t="str">
        <x:v>Media Control &amp; TikTok</x:v>
      </x:c>
      <x:c r="H565" s="11" t="n">
        <x:v>202508</x:v>
      </x:c>
      <x:c r="I565" s="11" t="str">
        <x:v>Complete</x:v>
      </x:c>
      <x:c r="J565" s="11" t="str">
        <x:v>Yes</x:v>
      </x:c>
    </x:row>
    <x:row r="566">
      <x:c r="A566" s="11" t="str">
        <x:v>2025-08</x:v>
      </x:c>
      <x:c r="B566" s="11" t="n">
        <x:v>18</x:v>
      </x:c>
      <x:c r="C566" s="11" t="str">
        <x:v>Rose in Chains</x:v>
      </x:c>
      <x:c r="D566" s="11" t="str">
        <x:v>Rose in Chains</x:v>
      </x:c>
      <x:c r="E566" s="11" t="str">
        <x:v>Julie Soto</x:v>
      </x:c>
      <x:c r="F566" s="11" t="str">
        <x:v>Official #BookTok Top 20</x:v>
      </x:c>
      <x:c r="G566" s="11" t="str">
        <x:v>Media Control &amp; TikTok</x:v>
      </x:c>
      <x:c r="H566" s="11" t="n">
        <x:v>202508</x:v>
      </x:c>
      <x:c r="I566" s="11" t="str">
        <x:v>Complete</x:v>
      </x:c>
      <x:c r="J566" s="11" t="str">
        <x:v>Yes</x:v>
      </x:c>
    </x:row>
    <x:row r="567">
      <x:c r="A567" s="11" t="str">
        <x:v>2025-08</x:v>
      </x:c>
      <x:c r="B567" s="11" t="n">
        <x:v>19</x:v>
      </x:c>
      <x:c r="C567" s="11" t="str">
        <x:v>Ikigai</x:v>
      </x:c>
      <x:c r="D567" s="11" t="str">
        <x:v>Ikigai</x:v>
      </x:c>
      <x:c r="E567" s="11" t="str">
        <x:v>Ken Mogi</x:v>
      </x:c>
      <x:c r="F567" s="11" t="str">
        <x:v>Official #BookTok Top 20</x:v>
      </x:c>
      <x:c r="G567" s="11" t="str">
        <x:v>Media Control &amp; TikTok</x:v>
      </x:c>
      <x:c r="H567" s="11" t="n">
        <x:v>202508</x:v>
      </x:c>
      <x:c r="I567" s="11" t="str">
        <x:v>Complete</x:v>
      </x:c>
      <x:c r="J567" s="11" t="str">
        <x:v>Yes</x:v>
      </x:c>
    </x:row>
    <x:row r="568">
      <x:c r="A568" s="11" t="str">
        <x:v>2025-08</x:v>
      </x:c>
      <x:c r="B568" s="11" t="n">
        <x:v>20</x:v>
      </x:c>
      <x:c r="C568" s="11" t="str">
        <x:v>»Mama, bitte lern Deutsch«</x:v>
      </x:c>
      <x:c r="D568" s="11" t="str">
        <x:v>»Mama, bitte lern Deutsch«</x:v>
      </x:c>
      <x:c r="E568" s="11" t="str">
        <x:v>Tahsim Durgun</x:v>
      </x:c>
      <x:c r="F568" s="11" t="str">
        <x:v>Official #BookTok Top 20</x:v>
      </x:c>
      <x:c r="G568" s="11" t="str">
        <x:v>Media Control &amp; TikTok</x:v>
      </x:c>
      <x:c r="H568" s="11" t="n">
        <x:v>202508</x:v>
      </x:c>
      <x:c r="I568" s="11" t="str">
        <x:v>Complete</x:v>
      </x:c>
      <x:c r="J568" s="11" t="str">
        <x:v>Yes</x:v>
      </x:c>
    </x:row>
    <x:row r="569">
      <x:c r="A569" s="11" t="str">
        <x:v>2025-09</x:v>
      </x:c>
      <x:c r="B569" s="11" t="n">
        <x:v>1</x:v>
      </x:c>
      <x:c r="C569" s="11" t="str">
        <x:v>Little Stranger</x:v>
      </x:c>
      <x:c r="D569" s="11" t="str">
        <x:v>Little Stranger</x:v>
      </x:c>
      <x:c r="E569" s="11" t="str">
        <x:v>Leigh Rivers</x:v>
      </x:c>
      <x:c r="F569" s="11" t="str">
        <x:v>Official #BookTok Top 20</x:v>
      </x:c>
      <x:c r="G569" s="11" t="str">
        <x:v>Media Control &amp; TikTok</x:v>
      </x:c>
      <x:c r="H569" s="11" t="n">
        <x:v>202509</x:v>
      </x:c>
      <x:c r="I569" s="11" t="str">
        <x:v>Complete</x:v>
      </x:c>
      <x:c r="J569" s="11" t="str">
        <x:v>Yes</x:v>
      </x:c>
    </x:row>
    <x:row r="570">
      <x:c r="A570" s="11" t="str">
        <x:v>2025-09</x:v>
      </x:c>
      <x:c r="B570" s="11" t="n">
        <x:v>2</x:v>
      </x:c>
      <x:c r="C570" s="11" t="str">
        <x:v>22 Bahnen</x:v>
      </x:c>
      <x:c r="D570" s="11" t="str">
        <x:v>22 Bahnen</x:v>
      </x:c>
      <x:c r="E570" s="11" t="str">
        <x:v>Caroline Wahl</x:v>
      </x:c>
      <x:c r="F570" s="11" t="str">
        <x:v>Official #BookTok Top 20</x:v>
      </x:c>
      <x:c r="G570" s="11" t="str">
        <x:v>Media Control &amp; TikTok</x:v>
      </x:c>
      <x:c r="H570" s="11" t="n">
        <x:v>202509</x:v>
      </x:c>
      <x:c r="I570" s="11" t="str">
        <x:v>Complete</x:v>
      </x:c>
      <x:c r="J570" s="11" t="str">
        <x:v>Yes</x:v>
      </x:c>
    </x:row>
    <x:row r="571">
      <x:c r="A571" s="11" t="str">
        <x:v>2025-09</x:v>
      </x:c>
      <x:c r="B571" s="11" t="n">
        <x:v>3</x:v>
      </x:c>
      <x:c r="C571" s="11" t="str">
        <x:v>»Mama, bitte lern Deutsch«</x:v>
      </x:c>
      <x:c r="D571" s="11" t="str">
        <x:v>»Mama, bitte lern Deutsch«</x:v>
      </x:c>
      <x:c r="E571" s="11" t="str">
        <x:v>Tahsim Durgun</x:v>
      </x:c>
      <x:c r="F571" s="11" t="str">
        <x:v>Official #BookTok Top 20</x:v>
      </x:c>
      <x:c r="G571" s="11" t="str">
        <x:v>Media Control &amp; TikTok</x:v>
      </x:c>
      <x:c r="H571" s="11" t="n">
        <x:v>202509</x:v>
      </x:c>
      <x:c r="I571" s="11" t="str">
        <x:v>Complete</x:v>
      </x:c>
      <x:c r="J571" s="11" t="str">
        <x:v>Yes</x:v>
      </x:c>
    </x:row>
    <x:row r="572">
      <x:c r="A572" s="11" t="str">
        <x:v>2025-09</x:v>
      </x:c>
      <x:c r="B572" s="11" t="n">
        <x:v>4</x:v>
      </x:c>
      <x:c r="C572" s="11" t="str">
        <x:v>Daughter of No Worlds (War of Lost Hearts 1)</x:v>
      </x:c>
      <x:c r="D572" s="11" t="str">
        <x:v>Daughter of No Worlds (War of Lost Hearts 1)</x:v>
      </x:c>
      <x:c r="E572" s="11" t="str">
        <x:v>Carissa Broadbent</x:v>
      </x:c>
      <x:c r="F572" s="11" t="str">
        <x:v>Official #BookTok Top 20</x:v>
      </x:c>
      <x:c r="G572" s="11" t="str">
        <x:v>Media Control &amp; TikTok</x:v>
      </x:c>
      <x:c r="H572" s="11" t="n">
        <x:v>202509</x:v>
      </x:c>
      <x:c r="I572" s="11" t="str">
        <x:v>Complete</x:v>
      </x:c>
      <x:c r="J572" s="11" t="str">
        <x:v>Yes</x:v>
      </x:c>
    </x:row>
    <x:row r="573">
      <x:c r="A573" s="11" t="str">
        <x:v>2025-09</x:v>
      </x:c>
      <x:c r="B573" s="11" t="n">
        <x:v>5</x:v>
      </x:c>
      <x:c r="C573" s="11" t="str">
        <x:v>Rewind It Back</x:v>
      </x:c>
      <x:c r="D573" s="11" t="str">
        <x:v>Rewind It Back</x:v>
      </x:c>
      <x:c r="E573" s="11" t="str">
        <x:v>Liz Tomforde</x:v>
      </x:c>
      <x:c r="F573" s="11" t="str">
        <x:v>Official #BookTok Top 20</x:v>
      </x:c>
      <x:c r="G573" s="11" t="str">
        <x:v>Media Control &amp; TikTok</x:v>
      </x:c>
      <x:c r="H573" s="11" t="n">
        <x:v>202509</x:v>
      </x:c>
      <x:c r="I573" s="11" t="str">
        <x:v>Complete</x:v>
      </x:c>
      <x:c r="J573" s="11" t="str">
        <x:v>Yes</x:v>
      </x:c>
    </x:row>
    <x:row r="574">
      <x:c r="A574" s="11" t="str">
        <x:v>2025-09</x:v>
      </x:c>
      <x:c r="B574" s="11" t="n">
        <x:v>6</x:v>
      </x:c>
      <x:c r="C574" s="11" t="str">
        <x:v>Hensslers Schnelle Nummer – morgens, mittags, abends</x:v>
      </x:c>
      <x:c r="D574" s="11" t="str">
        <x:v>Hensslers Schnelle Nummer – morgens, mittags, abends</x:v>
      </x:c>
      <x:c r="E574" s="11" t="str">
        <x:v>Steffen Henssler</x:v>
      </x:c>
      <x:c r="F574" s="11" t="str">
        <x:v>Official #BookTok Top 20</x:v>
      </x:c>
      <x:c r="G574" s="11" t="str">
        <x:v>Media Control &amp; TikTok</x:v>
      </x:c>
      <x:c r="H574" s="11" t="n">
        <x:v>202509</x:v>
      </x:c>
      <x:c r="I574" s="11" t="str">
        <x:v>Complete</x:v>
      </x:c>
      <x:c r="J574" s="11" t="str">
        <x:v>Yes</x:v>
      </x:c>
    </x:row>
    <x:row r="575">
      <x:c r="A575" s="11" t="str">
        <x:v>2025-09</x:v>
      </x:c>
      <x:c r="B575" s="11" t="n">
        <x:v>7</x:v>
      </x:c>
      <x:c r="C575" s="11" t="str">
        <x:v>Alchemised</x:v>
      </x:c>
      <x:c r="D575" s="11" t="str">
        <x:v>Alchemised</x:v>
      </x:c>
      <x:c r="E575" s="11" t="str">
        <x:v>SenLinYu</x:v>
      </x:c>
      <x:c r="F575" s="11" t="str">
        <x:v>Official #BookTok Top 20</x:v>
      </x:c>
      <x:c r="G575" s="11" t="str">
        <x:v>Media Control &amp; TikTok</x:v>
      </x:c>
      <x:c r="H575" s="11" t="n">
        <x:v>202509</x:v>
      </x:c>
      <x:c r="I575" s="11" t="str">
        <x:v>Complete</x:v>
      </x:c>
      <x:c r="J575" s="11" t="str">
        <x:v>Yes</x:v>
      </x:c>
    </x:row>
    <x:row r="576">
      <x:c r="A576" s="11" t="str">
        <x:v>2025-09</x:v>
      </x:c>
      <x:c r="B576" s="11" t="n">
        <x:v>8</x:v>
      </x:c>
      <x:c r="C576" s="11" t="str">
        <x:v>Silver Elite</x:v>
      </x:c>
      <x:c r="D576" s="11" t="str">
        <x:v>Silver Elite</x:v>
      </x:c>
      <x:c r="E576" s="11" t="str">
        <x:v>Dani Francis</x:v>
      </x:c>
      <x:c r="F576" s="11" t="str">
        <x:v>Official #BookTok Top 20</x:v>
      </x:c>
      <x:c r="G576" s="11" t="str">
        <x:v>Media Control &amp; TikTok</x:v>
      </x:c>
      <x:c r="H576" s="11" t="n">
        <x:v>202509</x:v>
      </x:c>
      <x:c r="I576" s="11" t="str">
        <x:v>Complete</x:v>
      </x:c>
      <x:c r="J576" s="11" t="str">
        <x:v>Yes</x:v>
      </x:c>
    </x:row>
    <x:row r="577">
      <x:c r="A577" s="11" t="str">
        <x:v>2025-09</x:v>
      </x:c>
      <x:c r="B577" s="11" t="n">
        <x:v>9</x:v>
      </x:c>
      <x:c r="C577" s="11" t="str">
        <x:v>Windstärke 17</x:v>
      </x:c>
      <x:c r="D577" s="11" t="str">
        <x:v>Windstärke 17</x:v>
      </x:c>
      <x:c r="E577" s="11" t="str">
        <x:v>Caroline Wahl</x:v>
      </x:c>
      <x:c r="F577" s="11" t="str">
        <x:v>Official #BookTok Top 20</x:v>
      </x:c>
      <x:c r="G577" s="11" t="str">
        <x:v>Media Control &amp; TikTok</x:v>
      </x:c>
      <x:c r="H577" s="11" t="n">
        <x:v>202509</x:v>
      </x:c>
      <x:c r="I577" s="11" t="str">
        <x:v>Complete</x:v>
      </x:c>
      <x:c r="J577" s="11" t="str">
        <x:v>Yes</x:v>
      </x:c>
    </x:row>
    <x:row r="578">
      <x:c r="A578" s="11" t="str">
        <x:v>2025-09</x:v>
      </x:c>
      <x:c r="B578" s="11" t="n">
        <x:v>10</x:v>
      </x:c>
      <x:c r="C578" s="11" t="str">
        <x:v>Der Lehrer – Will er dir helfen oder will er deinen Tod?</x:v>
      </x:c>
      <x:c r="D578" s="11" t="str">
        <x:v>Der Lehrer – Will er dir helfen oder will er deinen Tod?</x:v>
      </x:c>
      <x:c r="E578" s="11" t="str">
        <x:v>Freida McFadden</x:v>
      </x:c>
      <x:c r="F578" s="11" t="str">
        <x:v>Official #BookTok Top 20</x:v>
      </x:c>
      <x:c r="G578" s="11" t="str">
        <x:v>Media Control &amp; TikTok</x:v>
      </x:c>
      <x:c r="H578" s="11" t="n">
        <x:v>202509</x:v>
      </x:c>
      <x:c r="I578" s="11" t="str">
        <x:v>Complete</x:v>
      </x:c>
      <x:c r="J578" s="11" t="str">
        <x:v>Yes</x:v>
      </x:c>
    </x:row>
    <x:row r="579">
      <x:c r="A579" s="11" t="str">
        <x:v>2025-09</x:v>
      </x:c>
      <x:c r="B579" s="11" t="n">
        <x:v>11</x:v>
      </x:c>
      <x:c r="C579" s="11" t="str">
        <x:v>Wicked Mind</x:v>
      </x:c>
      <x:c r="D579" s="11" t="str">
        <x:v>Wicked Mind</x:v>
      </x:c>
      <x:c r="E579" s="11" t="str">
        <x:v>Bianca Mov</x:v>
      </x:c>
      <x:c r="F579" s="11" t="str">
        <x:v>Official #BookTok Top 20</x:v>
      </x:c>
      <x:c r="G579" s="11" t="str">
        <x:v>Media Control &amp; TikTok</x:v>
      </x:c>
      <x:c r="H579" s="11" t="n">
        <x:v>202509</x:v>
      </x:c>
      <x:c r="I579" s="11" t="str">
        <x:v>Complete</x:v>
      </x:c>
      <x:c r="J579" s="11" t="str">
        <x:v>Yes</x:v>
      </x:c>
    </x:row>
    <x:row r="580">
      <x:c r="A580" s="11" t="str">
        <x:v>2025-09</x:v>
      </x:c>
      <x:c r="B580" s="11" t="n">
        <x:v>12</x:v>
      </x:c>
      <x:c r="C580" s="11" t="str">
        <x:v>Die LET THEM Theorie</x:v>
      </x:c>
      <x:c r="D580" s="11" t="str">
        <x:v>Die LET THEM Theorie</x:v>
      </x:c>
      <x:c r="E580" s="11" t="str">
        <x:v>Mel Robbins, Sawyer Robbins</x:v>
      </x:c>
      <x:c r="F580" s="11" t="str">
        <x:v>Official #BookTok Top 20</x:v>
      </x:c>
      <x:c r="G580" s="11" t="str">
        <x:v>Media Control &amp; TikTok</x:v>
      </x:c>
      <x:c r="H580" s="11" t="n">
        <x:v>202509</x:v>
      </x:c>
      <x:c r="I580" s="11" t="str">
        <x:v>Complete</x:v>
      </x:c>
      <x:c r="J580" s="11" t="str">
        <x:v>Yes</x:v>
      </x:c>
    </x:row>
    <x:row r="581">
      <x:c r="A581" s="11" t="str">
        <x:v>2025-09</x:v>
      </x:c>
      <x:c r="B581" s="11" t="n">
        <x:v>13</x:v>
      </x:c>
      <x:c r="C581" s="11" t="str">
        <x:v>This could be forever</x:v>
      </x:c>
      <x:c r="D581" s="11" t="str">
        <x:v>This could be forever</x:v>
      </x:c>
      <x:c r="E581" s="11" t="str">
        <x:v>Lilly Lucas</x:v>
      </x:c>
      <x:c r="F581" s="11" t="str">
        <x:v>Official #BookTok Top 20</x:v>
      </x:c>
      <x:c r="G581" s="11" t="str">
        <x:v>Media Control &amp; TikTok</x:v>
      </x:c>
      <x:c r="H581" s="11" t="n">
        <x:v>202509</x:v>
      </x:c>
      <x:c r="I581" s="11" t="str">
        <x:v>Complete</x:v>
      </x:c>
      <x:c r="J581" s="11" t="str">
        <x:v>Yes</x:v>
      </x:c>
    </x:row>
    <x:row r="582">
      <x:c r="A582" s="11" t="str">
        <x:v>2025-09</x:v>
      </x:c>
      <x:c r="B582" s="11" t="n">
        <x:v>14</x:v>
      </x:c>
      <x:c r="C582" s="11" t="str">
        <x:v>Star-Crossed Hearts</x:v>
      </x:c>
      <x:c r="D582" s="11" t="str">
        <x:v>Star-Crossed Hearts</x:v>
      </x:c>
      <x:c r="E582" s="11" t="str">
        <x:v>Marissa Meyer</x:v>
      </x:c>
      <x:c r="F582" s="11" t="str">
        <x:v>Official #BookTok Top 20</x:v>
      </x:c>
      <x:c r="G582" s="11" t="str">
        <x:v>Media Control &amp; TikTok</x:v>
      </x:c>
      <x:c r="H582" s="11" t="n">
        <x:v>202509</x:v>
      </x:c>
      <x:c r="I582" s="11" t="str">
        <x:v>Complete</x:v>
      </x:c>
      <x:c r="J582" s="11" t="str">
        <x:v>Yes</x:v>
      </x:c>
    </x:row>
    <x:row r="583">
      <x:c r="A583" s="11" t="str">
        <x:v>2025-09</x:v>
      </x:c>
      <x:c r="B583" s="11" t="n">
        <x:v>15</x:v>
      </x:c>
      <x:c r="C583" s="11" t="str">
        <x:v>Gentle Heart</x:v>
      </x:c>
      <x:c r="D583" s="11" t="str">
        <x:v>Gentle Heart</x:v>
      </x:c>
      <x:c r="E583" s="11" t="str">
        <x:v>Mona Kasten</x:v>
      </x:c>
      <x:c r="F583" s="11" t="str">
        <x:v>Official #BookTok Top 20</x:v>
      </x:c>
      <x:c r="G583" s="11" t="str">
        <x:v>Media Control &amp; TikTok</x:v>
      </x:c>
      <x:c r="H583" s="11" t="n">
        <x:v>202509</x:v>
      </x:c>
      <x:c r="I583" s="11" t="str">
        <x:v>Complete</x:v>
      </x:c>
      <x:c r="J583" s="11" t="str">
        <x:v>Yes</x:v>
      </x:c>
    </x:row>
    <x:row r="584">
      <x:c r="A584" s="11" t="str">
        <x:v>2025-09</x:v>
      </x:c>
      <x:c r="B584" s="11" t="n">
        <x:v>16</x:v>
      </x:c>
      <x:c r="C584" s="11" t="str">
        <x:v>The Deadly Side of Love</x:v>
      </x:c>
      <x:c r="D584" s="11" t="str">
        <x:v>The Deadly Side of Love</x:v>
      </x:c>
      <x:c r="E584" s="11" t="str">
        <x:v>Francis Eden</x:v>
      </x:c>
      <x:c r="F584" s="11" t="str">
        <x:v>Official #BookTok Top 20</x:v>
      </x:c>
      <x:c r="G584" s="11" t="str">
        <x:v>Media Control &amp; TikTok</x:v>
      </x:c>
      <x:c r="H584" s="11" t="n">
        <x:v>202509</x:v>
      </x:c>
      <x:c r="I584" s="11" t="str">
        <x:v>Complete</x:v>
      </x:c>
      <x:c r="J584" s="11" t="str">
        <x:v>Yes</x:v>
      </x:c>
    </x:row>
    <x:row r="585">
      <x:c r="A585" s="11" t="str">
        <x:v>2025-09</x:v>
      </x:c>
      <x:c r="B585" s="11" t="n">
        <x:v>17</x:v>
      </x:c>
      <x:c r="C585" s="11" t="str">
        <x:v>Ikigai</x:v>
      </x:c>
      <x:c r="D585" s="11" t="str">
        <x:v>Ikigai</x:v>
      </x:c>
      <x:c r="E585" s="11" t="str">
        <x:v>Ken Mogi</x:v>
      </x:c>
      <x:c r="F585" s="11" t="str">
        <x:v>Official #BookTok Top 20</x:v>
      </x:c>
      <x:c r="G585" s="11" t="str">
        <x:v>Media Control &amp; TikTok</x:v>
      </x:c>
      <x:c r="H585" s="11" t="n">
        <x:v>202509</x:v>
      </x:c>
      <x:c r="I585" s="11" t="str">
        <x:v>Complete</x:v>
      </x:c>
      <x:c r="J585" s="11" t="str">
        <x:v>Yes</x:v>
      </x:c>
    </x:row>
    <x:row r="586">
      <x:c r="A586" s="11" t="str">
        <x:v>2025-09</x:v>
      </x:c>
      <x:c r="B586" s="11" t="n">
        <x:v>18</x:v>
      </x:c>
      <x:c r="C586" s="11" t="str">
        <x:v>Meet me in Autumn. Eine Pumpkin spiced Romance</x:v>
      </x:c>
      <x:c r="D586" s="11" t="str">
        <x:v>Meet me in Autumn. Eine Pumpkin spiced Romance</x:v>
      </x:c>
      <x:c r="E586" s="11" t="str">
        <x:v>Laurie Gilmore</x:v>
      </x:c>
      <x:c r="F586" s="11" t="str">
        <x:v>Official #BookTok Top 20</x:v>
      </x:c>
      <x:c r="G586" s="11" t="str">
        <x:v>Media Control &amp; TikTok</x:v>
      </x:c>
      <x:c r="H586" s="11" t="n">
        <x:v>202509</x:v>
      </x:c>
      <x:c r="I586" s="11" t="str">
        <x:v>Complete</x:v>
      </x:c>
      <x:c r="J586" s="11" t="str">
        <x:v>Yes</x:v>
      </x:c>
    </x:row>
    <x:row r="587">
      <x:c r="A587" s="11" t="str">
        <x:v>2025-09</x:v>
      </x:c>
      <x:c r="B587" s="11" t="n">
        <x:v>19</x:v>
      </x:c>
      <x:c r="C587" s="11" t="str">
        <x:v>Die 1%-Methode - Minimale Veränderung, maximale Wirkung</x:v>
      </x:c>
      <x:c r="D587" s="11" t="str">
        <x:v>Die 1%-Methode - Minimale Veränderung, maximale Wirkung</x:v>
      </x:c>
      <x:c r="E587" s="11" t="str">
        <x:v>James Clear</x:v>
      </x:c>
      <x:c r="F587" s="11" t="str">
        <x:v>Official #BookTok Top 20</x:v>
      </x:c>
      <x:c r="G587" s="11" t="str">
        <x:v>Media Control &amp; TikTok</x:v>
      </x:c>
      <x:c r="H587" s="11" t="n">
        <x:v>202509</x:v>
      </x:c>
      <x:c r="I587" s="11" t="str">
        <x:v>Complete</x:v>
      </x:c>
      <x:c r="J587" s="11" t="str">
        <x:v>Yes</x:v>
      </x:c>
    </x:row>
    <x:row r="588">
      <x:c r="A588" s="11" t="str">
        <x:v>2025-09</x:v>
      </x:c>
      <x:c r="B588" s="11" t="n">
        <x:v>20</x:v>
      </x:c>
      <x:c r="C588" s="11" t="str">
        <x:v>Powerless – Der Thron</x:v>
      </x:c>
      <x:c r="D588" s="11" t="str">
        <x:v>Powerless – Der Thron</x:v>
      </x:c>
      <x:c r="E588" s="11" t="str">
        <x:v>Lauren Roberts</x:v>
      </x:c>
      <x:c r="F588" s="11" t="str">
        <x:v>Official #BookTok Top 20</x:v>
      </x:c>
      <x:c r="G588" s="11" t="str">
        <x:v>Media Control &amp; TikTok</x:v>
      </x:c>
      <x:c r="H588" s="11" t="n">
        <x:v>202509</x:v>
      </x:c>
      <x:c r="I588" s="11" t="str">
        <x:v>Complete</x:v>
      </x:c>
      <x:c r="J588" s="11" t="str">
        <x:v>Yes</x:v>
      </x:c>
    </x:row>
    <x:row r="589">
      <x:c r="A589" s="11" t="str">
        <x:v>2025-10</x:v>
      </x:c>
      <x:c r="B589" s="11" t="n">
        <x:v>1</x:v>
      </x:c>
      <x:c r="C589" s="11" t="str">
        <x:v>22 Bahnen</x:v>
      </x:c>
      <x:c r="D589" s="11" t="str">
        <x:v>22 Bahnen</x:v>
      </x:c>
      <x:c r="E589" s="11" t="str">
        <x:v>Caroline Wahl</x:v>
      </x:c>
      <x:c r="F589" s="11" t="str">
        <x:v>Official #BookTok Top 20</x:v>
      </x:c>
      <x:c r="G589" s="11" t="str">
        <x:v>Media Control &amp; TikTok</x:v>
      </x:c>
      <x:c r="H589" s="11" t="n">
        <x:v>202510</x:v>
      </x:c>
      <x:c r="I589" s="11" t="str">
        <x:v>Complete</x:v>
      </x:c>
      <x:c r="J589" s="11" t="str">
        <x:v>Yes</x:v>
      </x:c>
    </x:row>
    <x:row r="590">
      <x:c r="A590" s="11" t="str">
        <x:v>2025-10</x:v>
      </x:c>
      <x:c r="B590" s="11" t="n">
        <x:v>2</x:v>
      </x:c>
      <x:c r="C590" s="11" t="str">
        <x:v>Leave Me Behind</x:v>
      </x:c>
      <x:c r="D590" s="11" t="str">
        <x:v>Leave Me Behind</x:v>
      </x:c>
      <x:c r="E590" s="11" t="str">
        <x:v>K M Moronova</x:v>
      </x:c>
      <x:c r="F590" s="11" t="str">
        <x:v>Official #BookTok Top 20</x:v>
      </x:c>
      <x:c r="G590" s="11" t="str">
        <x:v>Media Control &amp; TikTok</x:v>
      </x:c>
      <x:c r="H590" s="11" t="n">
        <x:v>202510</x:v>
      </x:c>
      <x:c r="I590" s="11" t="str">
        <x:v>Complete</x:v>
      </x:c>
      <x:c r="J590" s="11" t="str">
        <x:v>Yes</x:v>
      </x:c>
    </x:row>
    <x:row r="591">
      <x:c r="A591" s="11" t="str">
        <x:v>2025-10</x:v>
      </x:c>
      <x:c r="B591" s="11" t="n">
        <x:v>3</x:v>
      </x:c>
      <x:c r="C591" s="11" t="str">
        <x:v>Alchemised</x:v>
      </x:c>
      <x:c r="D591" s="11" t="str">
        <x:v>Alchemised</x:v>
      </x:c>
      <x:c r="E591" s="11" t="str">
        <x:v>SenLinYu</x:v>
      </x:c>
      <x:c r="F591" s="11" t="str">
        <x:v>Official #BookTok Top 20</x:v>
      </x:c>
      <x:c r="G591" s="11" t="str">
        <x:v>Media Control &amp; TikTok</x:v>
      </x:c>
      <x:c r="H591" s="11" t="n">
        <x:v>202510</x:v>
      </x:c>
      <x:c r="I591" s="11" t="str">
        <x:v>Complete</x:v>
      </x:c>
      <x:c r="J591" s="11" t="str">
        <x:v>Yes</x:v>
      </x:c>
    </x:row>
    <x:row r="592">
      <x:c r="A592" s="11" t="str">
        <x:v>2025-10</x:v>
      </x:c>
      <x:c r="B592" s="11" t="n">
        <x:v>4</x:v>
      </x:c>
      <x:c r="C592" s="11" t="str">
        <x:v>Hensslers Schnelle Nummer – morgens, mittags, abends</x:v>
      </x:c>
      <x:c r="D592" s="11" t="str">
        <x:v>Hensslers Schnelle Nummer – morgens, mittags, abends</x:v>
      </x:c>
      <x:c r="E592" s="11" t="str">
        <x:v>Steffen Henssler</x:v>
      </x:c>
      <x:c r="F592" s="11" t="str">
        <x:v>Official #BookTok Top 20</x:v>
      </x:c>
      <x:c r="G592" s="11" t="str">
        <x:v>Media Control &amp; TikTok</x:v>
      </x:c>
      <x:c r="H592" s="11" t="n">
        <x:v>202510</x:v>
      </x:c>
      <x:c r="I592" s="11" t="str">
        <x:v>Complete</x:v>
      </x:c>
      <x:c r="J592" s="11" t="str">
        <x:v>Yes</x:v>
      </x:c>
    </x:row>
    <x:row r="593">
      <x:c r="A593" s="11" t="str">
        <x:v>2025-10</x:v>
      </x:c>
      <x:c r="B593" s="11" t="n">
        <x:v>5</x:v>
      </x:c>
      <x:c r="C593" s="11" t="str">
        <x:v>»Mama, bitte lern Deutsch«</x:v>
      </x:c>
      <x:c r="D593" s="11" t="str">
        <x:v>»Mama, bitte lern Deutsch«</x:v>
      </x:c>
      <x:c r="E593" s="11" t="str">
        <x:v>Tahsim Durgun</x:v>
      </x:c>
      <x:c r="F593" s="11" t="str">
        <x:v>Official #BookTok Top 20</x:v>
      </x:c>
      <x:c r="G593" s="11" t="str">
        <x:v>Media Control &amp; TikTok</x:v>
      </x:c>
      <x:c r="H593" s="11" t="n">
        <x:v>202510</x:v>
      </x:c>
      <x:c r="I593" s="11" t="str">
        <x:v>Complete</x:v>
      </x:c>
      <x:c r="J593" s="11" t="str">
        <x:v>Yes</x:v>
      </x:c>
    </x:row>
    <x:row r="594">
      <x:c r="A594" s="11" t="str">
        <x:v>2025-10</x:v>
      </x:c>
      <x:c r="B594" s="11" t="n">
        <x:v>6</x:v>
      </x:c>
      <x:c r="C594" s="11" t="str">
        <x:v>Windstärke 17</x:v>
      </x:c>
      <x:c r="D594" s="11" t="str">
        <x:v>Windstärke 17</x:v>
      </x:c>
      <x:c r="E594" s="11" t="str">
        <x:v>Caroline Wahl</x:v>
      </x:c>
      <x:c r="F594" s="11" t="str">
        <x:v>Official #BookTok Top 20</x:v>
      </x:c>
      <x:c r="G594" s="11" t="str">
        <x:v>Media Control &amp; TikTok</x:v>
      </x:c>
      <x:c r="H594" s="11" t="n">
        <x:v>202510</x:v>
      </x:c>
      <x:c r="I594" s="11" t="str">
        <x:v>Complete</x:v>
      </x:c>
      <x:c r="J594" s="11" t="str">
        <x:v>Yes</x:v>
      </x:c>
    </x:row>
    <x:row r="595">
      <x:c r="A595" s="11" t="str">
        <x:v>2025-10</x:v>
      </x:c>
      <x:c r="B595" s="11" t="n">
        <x:v>7</x:v>
      </x:c>
      <x:c r="C595" s="11" t="str">
        <x:v>Die LET THEM Theorie</x:v>
      </x:c>
      <x:c r="D595" s="11" t="str">
        <x:v>Die LET THEM Theorie</x:v>
      </x:c>
      <x:c r="E595" s="11" t="str">
        <x:v>Mel Robbins, Sawyer Robbins</x:v>
      </x:c>
      <x:c r="F595" s="11" t="str">
        <x:v>Official #BookTok Top 20</x:v>
      </x:c>
      <x:c r="G595" s="11" t="str">
        <x:v>Media Control &amp; TikTok</x:v>
      </x:c>
      <x:c r="H595" s="11" t="n">
        <x:v>202510</x:v>
      </x:c>
      <x:c r="I595" s="11" t="str">
        <x:v>Complete</x:v>
      </x:c>
      <x:c r="J595" s="11" t="str">
        <x:v>Yes</x:v>
      </x:c>
    </x:row>
    <x:row r="596">
      <x:c r="A596" s="11" t="str">
        <x:v>2025-10</x:v>
      </x:c>
      <x:c r="B596" s="11" t="n">
        <x:v>8</x:v>
      </x:c>
      <x:c r="C596" s="11" t="str">
        <x:v>God of Fury - Verhängnisvolle Liebe</x:v>
      </x:c>
      <x:c r="D596" s="11" t="str">
        <x:v>God of Fury - Verhängnisvolle Liebe</x:v>
      </x:c>
      <x:c r="E596" s="11" t="str">
        <x:v>Rina Kent</x:v>
      </x:c>
      <x:c r="F596" s="11" t="str">
        <x:v>Official #BookTok Top 20</x:v>
      </x:c>
      <x:c r="G596" s="11" t="str">
        <x:v>Media Control &amp; TikTok</x:v>
      </x:c>
      <x:c r="H596" s="11" t="n">
        <x:v>202510</x:v>
      </x:c>
      <x:c r="I596" s="11" t="str">
        <x:v>Complete</x:v>
      </x:c>
      <x:c r="J596" s="11" t="str">
        <x:v>Yes</x:v>
      </x:c>
    </x:row>
    <x:row r="597">
      <x:c r="A597" s="11" t="str">
        <x:v>2025-10</x:v>
      </x:c>
      <x:c r="B597" s="11" t="n">
        <x:v>9</x:v>
      </x:c>
      <x:c r="C597" s="11" t="str">
        <x:v>Der Lehrer – Will er dir helfen oder will er deinen Tod?</x:v>
      </x:c>
      <x:c r="D597" s="11" t="str">
        <x:v>Der Lehrer – Will er dir helfen oder will er deinen Tod?</x:v>
      </x:c>
      <x:c r="E597" s="11" t="str">
        <x:v>Freida McFadden</x:v>
      </x:c>
      <x:c r="F597" s="11" t="str">
        <x:v>Official #BookTok Top 20</x:v>
      </x:c>
      <x:c r="G597" s="11" t="str">
        <x:v>Media Control &amp; TikTok</x:v>
      </x:c>
      <x:c r="H597" s="11" t="n">
        <x:v>202510</x:v>
      </x:c>
      <x:c r="I597" s="11" t="str">
        <x:v>Complete</x:v>
      </x:c>
      <x:c r="J597" s="11" t="str">
        <x:v>Yes</x:v>
      </x:c>
    </x:row>
    <x:row r="598">
      <x:c r="A598" s="11" t="str">
        <x:v>2025-10</x:v>
      </x:c>
      <x:c r="B598" s="11" t="n">
        <x:v>10</x:v>
      </x:c>
      <x:c r="C598" s="11" t="str">
        <x:v>Ember King</x:v>
      </x:c>
      <x:c r="D598" s="11" t="str">
        <x:v>Ember King</x:v>
      </x:c>
      <x:c r="E598" s="11" t="str">
        <x:v>Marie Niehoff</x:v>
      </x:c>
      <x:c r="F598" s="11" t="str">
        <x:v>Official #BookTok Top 20</x:v>
      </x:c>
      <x:c r="G598" s="11" t="str">
        <x:v>Media Control &amp; TikTok</x:v>
      </x:c>
      <x:c r="H598" s="11" t="n">
        <x:v>202510</x:v>
      </x:c>
      <x:c r="I598" s="11" t="str">
        <x:v>Complete</x:v>
      </x:c>
      <x:c r="J598" s="11" t="str">
        <x:v>Yes</x:v>
      </x:c>
    </x:row>
    <x:row r="599">
      <x:c r="A599" s="11" t="str">
        <x:v>2025-10</x:v>
      </x:c>
      <x:c r="B599" s="11" t="n">
        <x:v>11</x:v>
      </x:c>
      <x:c r="C599" s="11" t="str">
        <x:v>Lights Out</x:v>
      </x:c>
      <x:c r="D599" s="11" t="str">
        <x:v>Lights Out</x:v>
      </x:c>
      <x:c r="E599" s="11" t="str">
        <x:v>Navessa Allen</x:v>
      </x:c>
      <x:c r="F599" s="11" t="str">
        <x:v>Official #BookTok Top 20</x:v>
      </x:c>
      <x:c r="G599" s="11" t="str">
        <x:v>Media Control &amp; TikTok</x:v>
      </x:c>
      <x:c r="H599" s="11" t="n">
        <x:v>202510</x:v>
      </x:c>
      <x:c r="I599" s="11" t="str">
        <x:v>Complete</x:v>
      </x:c>
      <x:c r="J599" s="11" t="str">
        <x:v>Yes</x:v>
      </x:c>
    </x:row>
    <x:row r="600">
      <x:c r="A600" s="11" t="str">
        <x:v>2025-10</x:v>
      </x:c>
      <x:c r="B600" s="11" t="n">
        <x:v>12</x:v>
      </x:c>
      <x:c r="C600" s="11" t="str">
        <x:v>Mate - Die unzumutbare Unmöglichkeit von Liebe</x:v>
      </x:c>
      <x:c r="D600" s="11" t="str">
        <x:v>Mate - Die unzumutbare Unmöglichkeit von Liebe</x:v>
      </x:c>
      <x:c r="E600" s="11" t="str">
        <x:v>Ali Hazelwood</x:v>
      </x:c>
      <x:c r="F600" s="11" t="str">
        <x:v>Official #BookTok Top 20</x:v>
      </x:c>
      <x:c r="G600" s="11" t="str">
        <x:v>Media Control &amp; TikTok</x:v>
      </x:c>
      <x:c r="H600" s="11" t="n">
        <x:v>202510</x:v>
      </x:c>
      <x:c r="I600" s="11" t="str">
        <x:v>Complete</x:v>
      </x:c>
      <x:c r="J600" s="11" t="str">
        <x:v>Yes</x:v>
      </x:c>
    </x:row>
    <x:row r="601">
      <x:c r="A601" s="11" t="str">
        <x:v>2025-10</x:v>
      </x:c>
      <x:c r="B601" s="11" t="n">
        <x:v>13</x:v>
      </x:c>
      <x:c r="C601" s="11" t="str">
        <x:v>Die 1%-Methode - Minimale Veränderung, maximale Wirkung</x:v>
      </x:c>
      <x:c r="D601" s="11" t="str">
        <x:v>Die 1%-Methode - Minimale Veränderung, maximale Wirkung</x:v>
      </x:c>
      <x:c r="E601" s="11" t="str">
        <x:v>James Clear</x:v>
      </x:c>
      <x:c r="F601" s="11" t="str">
        <x:v>Official #BookTok Top 20</x:v>
      </x:c>
      <x:c r="G601" s="11" t="str">
        <x:v>Media Control &amp; TikTok</x:v>
      </x:c>
      <x:c r="H601" s="11" t="n">
        <x:v>202510</x:v>
      </x:c>
      <x:c r="I601" s="11" t="str">
        <x:v>Complete</x:v>
      </x:c>
      <x:c r="J601" s="11" t="str">
        <x:v>Yes</x:v>
      </x:c>
    </x:row>
    <x:row r="602">
      <x:c r="A602" s="11" t="str">
        <x:v>2025-10</x:v>
      </x:c>
      <x:c r="B602" s="11" t="n">
        <x:v>14</x:v>
      </x:c>
      <x:c r="C602" s="11" t="str">
        <x:v>The Darlington - Ethan &amp; Grace</x:v>
      </x:c>
      <x:c r="D602" s="11" t="str">
        <x:v>The Darlington - Ethan &amp; Grace</x:v>
      </x:c>
      <x:c r="E602" s="11" t="str">
        <x:v>Laura Kneidl</x:v>
      </x:c>
      <x:c r="F602" s="11" t="str">
        <x:v>Official #BookTok Top 20</x:v>
      </x:c>
      <x:c r="G602" s="11" t="str">
        <x:v>Media Control &amp; TikTok</x:v>
      </x:c>
      <x:c r="H602" s="11" t="n">
        <x:v>202510</x:v>
      </x:c>
      <x:c r="I602" s="11" t="str">
        <x:v>Complete</x:v>
      </x:c>
      <x:c r="J602" s="11" t="str">
        <x:v>Yes</x:v>
      </x:c>
    </x:row>
    <x:row r="603">
      <x:c r="A603" s="11" t="str">
        <x:v>2025-10</x:v>
      </x:c>
      <x:c r="B603" s="11" t="n">
        <x:v>15</x:v>
      </x:c>
      <x:c r="C603" s="11" t="str">
        <x:v>Das Kind in dir muss Heimat finden</x:v>
      </x:c>
      <x:c r="D603" s="11" t="str">
        <x:v>Das Kind in dir muss Heimat finden</x:v>
      </x:c>
      <x:c r="E603" s="11" t="str">
        <x:v>Stefanie Stahl</x:v>
      </x:c>
      <x:c r="F603" s="11" t="str">
        <x:v>Official #BookTok Top 20</x:v>
      </x:c>
      <x:c r="G603" s="11" t="str">
        <x:v>Media Control &amp; TikTok</x:v>
      </x:c>
      <x:c r="H603" s="11" t="n">
        <x:v>202510</x:v>
      </x:c>
      <x:c r="I603" s="11" t="str">
        <x:v>Complete</x:v>
      </x:c>
      <x:c r="J603" s="11" t="str">
        <x:v>Yes</x:v>
      </x:c>
    </x:row>
    <x:row r="604">
      <x:c r="A604" s="11" t="str">
        <x:v>2025-10</x:v>
      </x:c>
      <x:c r="B604" s="11" t="n">
        <x:v>16</x:v>
      </x:c>
      <x:c r="C604" s="11" t="str">
        <x:v>Ikigai</x:v>
      </x:c>
      <x:c r="D604" s="11" t="str">
        <x:v>Ikigai</x:v>
      </x:c>
      <x:c r="E604" s="11" t="str">
        <x:v>Ken Mogi</x:v>
      </x:c>
      <x:c r="F604" s="11" t="str">
        <x:v>Official #BookTok Top 20</x:v>
      </x:c>
      <x:c r="G604" s="11" t="str">
        <x:v>Media Control &amp; TikTok</x:v>
      </x:c>
      <x:c r="H604" s="11" t="n">
        <x:v>202510</x:v>
      </x:c>
      <x:c r="I604" s="11" t="str">
        <x:v>Complete</x:v>
      </x:c>
      <x:c r="J604" s="11" t="str">
        <x:v>Yes</x:v>
      </x:c>
    </x:row>
    <x:row r="605">
      <x:c r="A605" s="11" t="str">
        <x:v>2025-10</x:v>
      </x:c>
      <x:c r="B605" s="11" t="n">
        <x:v>17</x:v>
      </x:c>
      <x:c r="C605" s="11" t="str">
        <x:v>Die Kollegin - Wer hat sie so sehr gehasst, dass sie sterben musste?</x:v>
      </x:c>
      <x:c r="D605" s="11" t="str">
        <x:v>Die Kollegin - Wer hat sie so sehr gehasst, dass sie sterben musste?</x:v>
      </x:c>
      <x:c r="E605" s="11" t="str">
        <x:v>Freida McFadden</x:v>
      </x:c>
      <x:c r="F605" s="11" t="str">
        <x:v>Official #BookTok Top 20</x:v>
      </x:c>
      <x:c r="G605" s="11" t="str">
        <x:v>Media Control &amp; TikTok</x:v>
      </x:c>
      <x:c r="H605" s="11" t="n">
        <x:v>202510</x:v>
      </x:c>
      <x:c r="I605" s="11" t="str">
        <x:v>Complete</x:v>
      </x:c>
      <x:c r="J605" s="11" t="str">
        <x:v>Yes</x:v>
      </x:c>
    </x:row>
    <x:row r="606">
      <x:c r="A606" s="11" t="str">
        <x:v>2025-10</x:v>
      </x:c>
      <x:c r="B606" s="11" t="n">
        <x:v>18</x:v>
      </x:c>
      <x:c r="C606" s="11" t="str">
        <x:v>Die Mitternachtsbibliothek</x:v>
      </x:c>
      <x:c r="D606" s="11" t="str">
        <x:v>Die Mitternachtsbibliothek</x:v>
      </x:c>
      <x:c r="E606" s="11" t="str">
        <x:v>Matt Haig</x:v>
      </x:c>
      <x:c r="F606" s="11" t="str">
        <x:v>Official #BookTok Top 20</x:v>
      </x:c>
      <x:c r="G606" s="11" t="str">
        <x:v>Media Control &amp; TikTok</x:v>
      </x:c>
      <x:c r="H606" s="11" t="n">
        <x:v>202510</x:v>
      </x:c>
      <x:c r="I606" s="11" t="str">
        <x:v>Complete</x:v>
      </x:c>
      <x:c r="J606" s="11" t="str">
        <x:v>Yes</x:v>
      </x:c>
    </x:row>
    <x:row r="607">
      <x:c r="A607" s="11" t="str">
        <x:v>2025-10</x:v>
      </x:c>
      <x:c r="B607" s="11" t="n">
        <x:v>19</x:v>
      </x:c>
      <x:c r="C607" s="11" t="str">
        <x:v>Alea Aquarius 10. Der Stern des Schicksals</x:v>
      </x:c>
      <x:c r="D607" s="11" t="str">
        <x:v>Alea Aquarius 10. Der Stern des Schicksals</x:v>
      </x:c>
      <x:c r="E607" s="11" t="str">
        <x:v>Tanya Stewner</x:v>
      </x:c>
      <x:c r="F607" s="11" t="str">
        <x:v>Official #BookTok Top 20</x:v>
      </x:c>
      <x:c r="G607" s="11" t="str">
        <x:v>Media Control &amp; TikTok</x:v>
      </x:c>
      <x:c r="H607" s="11" t="n">
        <x:v>202510</x:v>
      </x:c>
      <x:c r="I607" s="11" t="str">
        <x:v>Complete</x:v>
      </x:c>
      <x:c r="J607" s="11" t="str">
        <x:v>Yes</x:v>
      </x:c>
    </x:row>
    <x:row r="608">
      <x:c r="A608" s="11" t="str">
        <x:v>2025-10</x:v>
      </x:c>
      <x:c r="B608" s="11" t="n">
        <x:v>20</x:v>
      </x:c>
      <x:c r="C608" s="11" t="str">
        <x:v>Arcana Academy 1: Arcana Academy</x:v>
      </x:c>
      <x:c r="D608" s="11" t="str">
        <x:v>Arcana Academy 1: Arcana Academy</x:v>
      </x:c>
      <x:c r="E608" s="11" t="str">
        <x:v>Elise Kova</x:v>
      </x:c>
      <x:c r="F608" s="11" t="str">
        <x:v>Official #BookTok Top 20</x:v>
      </x:c>
      <x:c r="G608" s="11" t="str">
        <x:v>Media Control &amp; TikTok</x:v>
      </x:c>
      <x:c r="H608" s="11" t="n">
        <x:v>202510</x:v>
      </x:c>
      <x:c r="I608" s="11" t="str">
        <x:v>Complete</x:v>
      </x:c>
      <x:c r="J608" s="11" t="str">
        <x:v>Yes</x:v>
      </x:c>
    </x:row>
    <x:row r="609">
      <x:c r="A609" s="11" t="str">
        <x:v>2025-11</x:v>
      </x:c>
      <x:c r="B609" s="11" t="n">
        <x:v>1</x:v>
      </x:c>
      <x:c r="C609" s="11" t="str">
        <x:v>Leave Me Behind</x:v>
      </x:c>
      <x:c r="D609" s="11" t="str">
        <x:v>Leave Me Behind</x:v>
      </x:c>
      <x:c r="E609" s="11" t="str">
        <x:v>K M Moronova</x:v>
      </x:c>
      <x:c r="F609" s="11" t="str">
        <x:v>Official #BookTok Top 20</x:v>
      </x:c>
      <x:c r="G609" s="11" t="str">
        <x:v>Media Control &amp; TikTok</x:v>
      </x:c>
      <x:c r="H609" s="11" t="n">
        <x:v>202511</x:v>
      </x:c>
      <x:c r="I609" s="11" t="str">
        <x:v>Complete</x:v>
      </x:c>
      <x:c r="J609" s="11" t="str">
        <x:v>Yes</x:v>
      </x:c>
    </x:row>
    <x:row r="610">
      <x:c r="A610" s="11" t="str">
        <x:v>2025-11</x:v>
      </x:c>
      <x:c r="B610" s="11" t="n">
        <x:v>2</x:v>
      </x:c>
      <x:c r="C610" s="11" t="str">
        <x:v>Royal Heist</x:v>
      </x:c>
      <x:c r="D610" s="11" t="str">
        <x:v>Royal Heist</x:v>
      </x:c>
      <x:c r="E610" s="11" t="str">
        <x:v>Lena Kiefer</x:v>
      </x:c>
      <x:c r="F610" s="11" t="str">
        <x:v>Official #BookTok Top 20</x:v>
      </x:c>
      <x:c r="G610" s="11" t="str">
        <x:v>Media Control &amp; TikTok</x:v>
      </x:c>
      <x:c r="H610" s="11" t="n">
        <x:v>202511</x:v>
      </x:c>
      <x:c r="I610" s="11" t="str">
        <x:v>Complete</x:v>
      </x:c>
      <x:c r="J610" s="11" t="str">
        <x:v>Yes</x:v>
      </x:c>
    </x:row>
    <x:row r="611">
      <x:c r="A611" s="11" t="str">
        <x:v>2025-11</x:v>
      </x:c>
      <x:c r="B611" s="11" t="n">
        <x:v>3</x:v>
      </x:c>
      <x:c r="C611" s="11" t="str">
        <x:v>Rebel Witch. Der rote Nachtfalter</x:v>
      </x:c>
      <x:c r="D611" s="11" t="str">
        <x:v>Rebel Witch. Der rote Nachtfalter</x:v>
      </x:c>
      <x:c r="E611" s="11" t="str">
        <x:v>Kristen Ciccarelli</x:v>
      </x:c>
      <x:c r="F611" s="11" t="str">
        <x:v>Official #BookTok Top 20</x:v>
      </x:c>
      <x:c r="G611" s="11" t="str">
        <x:v>Media Control &amp; TikTok</x:v>
      </x:c>
      <x:c r="H611" s="11" t="n">
        <x:v>202511</x:v>
      </x:c>
      <x:c r="I611" s="11" t="str">
        <x:v>Complete</x:v>
      </x:c>
      <x:c r="J611" s="11" t="str">
        <x:v>Yes</x:v>
      </x:c>
    </x:row>
    <x:row r="612">
      <x:c r="A612" s="11" t="str">
        <x:v>2025-11</x:v>
      </x:c>
      <x:c r="B612" s="11" t="n">
        <x:v>4</x:v>
      </x:c>
      <x:c r="C612" s="11" t="str">
        <x:v>Like Hearts We Heal</x:v>
      </x:c>
      <x:c r="D612" s="11" t="str">
        <x:v>Like Hearts We Heal</x:v>
      </x:c>
      <x:c r="E612" s="11" t="str">
        <x:v>Ayla Dade</x:v>
      </x:c>
      <x:c r="F612" s="11" t="str">
        <x:v>Official #BookTok Top 20</x:v>
      </x:c>
      <x:c r="G612" s="11" t="str">
        <x:v>Media Control &amp; TikTok</x:v>
      </x:c>
      <x:c r="H612" s="11" t="n">
        <x:v>202511</x:v>
      </x:c>
      <x:c r="I612" s="11" t="str">
        <x:v>Complete</x:v>
      </x:c>
      <x:c r="J612" s="11" t="str">
        <x:v>Yes</x:v>
      </x:c>
    </x:row>
    <x:row r="613">
      <x:c r="A613" s="11" t="str">
        <x:v>2025-11</x:v>
      </x:c>
      <x:c r="B613" s="11" t="n">
        <x:v>5</x:v>
      </x:c>
      <x:c r="C613" s="11" t="str">
        <x:v>Qwert</x:v>
      </x:c>
      <x:c r="D613" s="11" t="str">
        <x:v>Qwert</x:v>
      </x:c>
      <x:c r="E613" s="11" t="str">
        <x:v>Walter Moers</x:v>
      </x:c>
      <x:c r="F613" s="11" t="str">
        <x:v>Official #BookTok Top 20</x:v>
      </x:c>
      <x:c r="G613" s="11" t="str">
        <x:v>Media Control &amp; TikTok</x:v>
      </x:c>
      <x:c r="H613" s="11" t="n">
        <x:v>202511</x:v>
      </x:c>
      <x:c r="I613" s="11" t="str">
        <x:v>Complete</x:v>
      </x:c>
      <x:c r="J613" s="11" t="str">
        <x:v>Yes</x:v>
      </x:c>
    </x:row>
    <x:row r="614">
      <x:c r="A614" s="11" t="str">
        <x:v>2025-11</x:v>
      </x:c>
      <x:c r="B614" s="11" t="n">
        <x:v>6</x:v>
      </x:c>
      <x:c r="C614" s="11" t="str">
        <x:v>22 Bahnen</x:v>
      </x:c>
      <x:c r="D614" s="11" t="str">
        <x:v>22 Bahnen</x:v>
      </x:c>
      <x:c r="E614" s="11" t="str">
        <x:v>Caroline Wahl</x:v>
      </x:c>
      <x:c r="F614" s="11" t="str">
        <x:v>Official #BookTok Top 20</x:v>
      </x:c>
      <x:c r="G614" s="11" t="str">
        <x:v>Media Control &amp; TikTok</x:v>
      </x:c>
      <x:c r="H614" s="11" t="n">
        <x:v>202511</x:v>
      </x:c>
      <x:c r="I614" s="11" t="str">
        <x:v>Complete</x:v>
      </x:c>
      <x:c r="J614" s="11" t="str">
        <x:v>Yes</x:v>
      </x:c>
    </x:row>
    <x:row r="615">
      <x:c r="A615" s="11" t="str">
        <x:v>2025-11</x:v>
      </x:c>
      <x:c r="B615" s="11" t="n">
        <x:v>7</x:v>
      </x:c>
      <x:c r="C615" s="11" t="str">
        <x:v>Die LET THEM Theorie</x:v>
      </x:c>
      <x:c r="D615" s="11" t="str">
        <x:v>Die LET THEM Theorie</x:v>
      </x:c>
      <x:c r="E615" s="11" t="str">
        <x:v>Mel Robbins, Sawyer Robbins</x:v>
      </x:c>
      <x:c r="F615" s="11" t="str">
        <x:v>Official #BookTok Top 20</x:v>
      </x:c>
      <x:c r="G615" s="11" t="str">
        <x:v>Media Control &amp; TikTok</x:v>
      </x:c>
      <x:c r="H615" s="11" t="n">
        <x:v>202511</x:v>
      </x:c>
      <x:c r="I615" s="11" t="str">
        <x:v>Complete</x:v>
      </x:c>
      <x:c r="J615" s="11" t="str">
        <x:v>Yes</x:v>
      </x:c>
    </x:row>
    <x:row r="616">
      <x:c r="A616" s="11" t="str">
        <x:v>2025-11</x:v>
      </x:c>
      <x:c r="B616" s="11" t="n">
        <x:v>8</x:v>
      </x:c>
      <x:c r="C616" s="11" t="str">
        <x:v>Alchemised</x:v>
      </x:c>
      <x:c r="D616" s="11" t="str">
        <x:v>Alchemised</x:v>
      </x:c>
      <x:c r="E616" s="11" t="str">
        <x:v>SenLinYu</x:v>
      </x:c>
      <x:c r="F616" s="11" t="str">
        <x:v>Official #BookTok Top 20</x:v>
      </x:c>
      <x:c r="G616" s="11" t="str">
        <x:v>Media Control &amp; TikTok</x:v>
      </x:c>
      <x:c r="H616" s="11" t="n">
        <x:v>202511</x:v>
      </x:c>
      <x:c r="I616" s="11" t="str">
        <x:v>Complete</x:v>
      </x:c>
      <x:c r="J616" s="11" t="str">
        <x:v>Yes</x:v>
      </x:c>
    </x:row>
    <x:row r="617">
      <x:c r="A617" s="11" t="str">
        <x:v>2025-11</x:v>
      </x:c>
      <x:c r="B617" s="11" t="n">
        <x:v>9</x:v>
      </x:c>
      <x:c r="C617" s="11" t="str">
        <x:v>Der Dorfladen - Wie das Schicksal spielt</x:v>
      </x:c>
      <x:c r="D617" s="11" t="str">
        <x:v>Der Dorfladen - Wie das Schicksal spielt</x:v>
      </x:c>
      <x:c r="E617" s="11" t="str">
        <x:v>Anne Jacobs</x:v>
      </x:c>
      <x:c r="F617" s="11" t="str">
        <x:v>Official #BookTok Top 20</x:v>
      </x:c>
      <x:c r="G617" s="11" t="str">
        <x:v>Media Control &amp; TikTok</x:v>
      </x:c>
      <x:c r="H617" s="11" t="n">
        <x:v>202511</x:v>
      </x:c>
      <x:c r="I617" s="11" t="str">
        <x:v>Complete</x:v>
      </x:c>
      <x:c r="J617" s="11" t="str">
        <x:v>Yes</x:v>
      </x:c>
    </x:row>
    <x:row r="618">
      <x:c r="A618" s="11" t="str">
        <x:v>2025-11</x:v>
      </x:c>
      <x:c r="B618" s="11" t="n">
        <x:v>10</x:v>
      </x:c>
      <x:c r="C618" s="11" t="str">
        <x:v>Windstärke 17</x:v>
      </x:c>
      <x:c r="D618" s="11" t="str">
        <x:v>Windstärke 17</x:v>
      </x:c>
      <x:c r="E618" s="11" t="str">
        <x:v>Caroline Wahl</x:v>
      </x:c>
      <x:c r="F618" s="11" t="str">
        <x:v>Official #BookTok Top 20</x:v>
      </x:c>
      <x:c r="G618" s="11" t="str">
        <x:v>Media Control &amp; TikTok</x:v>
      </x:c>
      <x:c r="H618" s="11" t="n">
        <x:v>202511</x:v>
      </x:c>
      <x:c r="I618" s="11" t="str">
        <x:v>Complete</x:v>
      </x:c>
      <x:c r="J618" s="11" t="str">
        <x:v>Yes</x:v>
      </x:c>
    </x:row>
    <x:row r="619">
      <x:c r="A619" s="11" t="str">
        <x:v>2025-11</x:v>
      </x:c>
      <x:c r="B619" s="11" t="n">
        <x:v>11</x:v>
      </x:c>
      <x:c r="C619" s="11" t="str">
        <x:v>Die Frauen von Ballymore</x:v>
      </x:c>
      <x:c r="D619" s="11" t="str">
        <x:v>Die Frauen von Ballymore</x:v>
      </x:c>
      <x:c r="E619" s="11" t="str">
        <x:v>Lucinda Riley</x:v>
      </x:c>
      <x:c r="F619" s="11" t="str">
        <x:v>Official #BookTok Top 20</x:v>
      </x:c>
      <x:c r="G619" s="11" t="str">
        <x:v>Media Control &amp; TikTok</x:v>
      </x:c>
      <x:c r="H619" s="11" t="n">
        <x:v>202511</x:v>
      </x:c>
      <x:c r="I619" s="11" t="str">
        <x:v>Complete</x:v>
      </x:c>
      <x:c r="J619" s="11" t="str">
        <x:v>Yes</x:v>
      </x:c>
    </x:row>
    <x:row r="620">
      <x:c r="A620" s="11" t="str">
        <x:v>2025-11</x:v>
      </x:c>
      <x:c r="B620" s="11" t="n">
        <x:v>12</x:v>
      </x:c>
      <x:c r="C620" s="11" t="str">
        <x:v>Your Knife, My Heart</x:v>
      </x:c>
      <x:c r="D620" s="11" t="str">
        <x:v>Your Knife, My Heart</x:v>
      </x:c>
      <x:c r="E620" s="11" t="str">
        <x:v>K M Moronova</x:v>
      </x:c>
      <x:c r="F620" s="11" t="str">
        <x:v>Official #BookTok Top 20</x:v>
      </x:c>
      <x:c r="G620" s="11" t="str">
        <x:v>Media Control &amp; TikTok</x:v>
      </x:c>
      <x:c r="H620" s="11" t="n">
        <x:v>202511</x:v>
      </x:c>
      <x:c r="I620" s="11" t="str">
        <x:v>Complete</x:v>
      </x:c>
      <x:c r="J620" s="11" t="str">
        <x:v>Yes</x:v>
      </x:c>
    </x:row>
    <x:row r="621">
      <x:c r="A621" s="11" t="str">
        <x:v>2025-11</x:v>
      </x:c>
      <x:c r="B621" s="11" t="n">
        <x:v>13</x:v>
      </x:c>
      <x:c r="C621" s="11" t="str">
        <x:v>Brimstone - Königin der Finsternis. Krieger der Wölfe</x:v>
      </x:c>
      <x:c r="D621" s="11" t="str">
        <x:v>Brimstone - Königin der Finsternis. Krieger der Wölfe</x:v>
      </x:c>
      <x:c r="E621" s="11" t="str">
        <x:v>Callie Hart</x:v>
      </x:c>
      <x:c r="F621" s="11" t="str">
        <x:v>Official #BookTok Top 20</x:v>
      </x:c>
      <x:c r="G621" s="11" t="str">
        <x:v>Media Control &amp; TikTok</x:v>
      </x:c>
      <x:c r="H621" s="11" t="n">
        <x:v>202511</x:v>
      </x:c>
      <x:c r="I621" s="11" t="str">
        <x:v>Complete</x:v>
      </x:c>
      <x:c r="J621" s="11" t="str">
        <x:v>Yes</x:v>
      </x:c>
    </x:row>
    <x:row r="622">
      <x:c r="A622" s="11" t="str">
        <x:v>2025-11</x:v>
      </x:c>
      <x:c r="B622" s="11" t="n">
        <x:v>14</x:v>
      </x:c>
      <x:c r="C622" s="11" t="str">
        <x:v>Das Mädchen aus Yorkshire</x:v>
      </x:c>
      <x:c r="D622" s="11" t="str">
        <x:v>Das Mädchen aus Yorkshire</x:v>
      </x:c>
      <x:c r="E622" s="11" t="str">
        <x:v>Lucinda Riley</x:v>
      </x:c>
      <x:c r="F622" s="11" t="str">
        <x:v>Official #BookTok Top 20</x:v>
      </x:c>
      <x:c r="G622" s="11" t="str">
        <x:v>Media Control &amp; TikTok</x:v>
      </x:c>
      <x:c r="H622" s="11" t="n">
        <x:v>202511</x:v>
      </x:c>
      <x:c r="I622" s="11" t="str">
        <x:v>Complete</x:v>
      </x:c>
      <x:c r="J622" s="11" t="str">
        <x:v>Yes</x:v>
      </x:c>
    </x:row>
    <x:row r="623">
      <x:c r="A623" s="11" t="str">
        <x:v>2025-11</x:v>
      </x:c>
      <x:c r="B623" s="11" t="n">
        <x:v>15</x:v>
      </x:c>
      <x:c r="C623" s="11" t="str">
        <x:v>Der Lehrer – Will er dir helfen oder will er deinen Tod?</x:v>
      </x:c>
      <x:c r="D623" s="11" t="str">
        <x:v>Der Lehrer – Will er dir helfen oder will er deinen Tod?</x:v>
      </x:c>
      <x:c r="E623" s="11" t="str">
        <x:v>Freida McFadden</x:v>
      </x:c>
      <x:c r="F623" s="11" t="str">
        <x:v>Official #BookTok Top 20</x:v>
      </x:c>
      <x:c r="G623" s="11" t="str">
        <x:v>Media Control &amp; TikTok</x:v>
      </x:c>
      <x:c r="H623" s="11" t="n">
        <x:v>202511</x:v>
      </x:c>
      <x:c r="I623" s="11" t="str">
        <x:v>Complete</x:v>
      </x:c>
      <x:c r="J623" s="11" t="str">
        <x:v>Yes</x:v>
      </x:c>
    </x:row>
    <x:row r="624">
      <x:c r="A624" s="11" t="str">
        <x:v>2025-11</x:v>
      </x:c>
      <x:c r="B624" s="11" t="n">
        <x:v>16</x:v>
      </x:c>
      <x:c r="C624" s="11" t="str">
        <x:v>Das Jahr voller Bücher und Wunder</x:v>
      </x:c>
      <x:c r="D624" s="11" t="str">
        <x:v>Das Jahr voller Bücher und Wunder</x:v>
      </x:c>
      <x:c r="E624" s="11" t="str">
        <x:v>Libby Page</x:v>
      </x:c>
      <x:c r="F624" s="11" t="str">
        <x:v>Official #BookTok Top 20</x:v>
      </x:c>
      <x:c r="G624" s="11" t="str">
        <x:v>Media Control &amp; TikTok</x:v>
      </x:c>
      <x:c r="H624" s="11" t="n">
        <x:v>202511</x:v>
      </x:c>
      <x:c r="I624" s="11" t="str">
        <x:v>Complete</x:v>
      </x:c>
      <x:c r="J624" s="11" t="str">
        <x:v>Yes</x:v>
      </x:c>
    </x:row>
    <x:row r="625">
      <x:c r="A625" s="11" t="str">
        <x:v>2025-11</x:v>
      </x:c>
      <x:c r="B625" s="11" t="n">
        <x:v>17</x:v>
      </x:c>
      <x:c r="C625" s="11" t="str">
        <x:v>Boys of Tommen 6: Releasing 10</x:v>
      </x:c>
      <x:c r="D625" s="11" t="str">
        <x:v>Boys of Tommen 6: Releasing 10</x:v>
      </x:c>
      <x:c r="E625" s="11" t="str">
        <x:v>Chloe Walsh</x:v>
      </x:c>
      <x:c r="F625" s="11" t="str">
        <x:v>Official #BookTok Top 20</x:v>
      </x:c>
      <x:c r="G625" s="11" t="str">
        <x:v>Media Control &amp; TikTok</x:v>
      </x:c>
      <x:c r="H625" s="11" t="n">
        <x:v>202511</x:v>
      </x:c>
      <x:c r="I625" s="11" t="str">
        <x:v>Complete</x:v>
      </x:c>
      <x:c r="J625" s="11" t="str">
        <x:v>Yes</x:v>
      </x:c>
    </x:row>
    <x:row r="626">
      <x:c r="A626" s="11" t="str">
        <x:v>2025-11</x:v>
      </x:c>
      <x:c r="B626" s="11" t="n">
        <x:v>18</x:v>
      </x:c>
      <x:c r="C626" s="11" t="str">
        <x:v>»Mama, bitte lern Deutsch«</x:v>
      </x:c>
      <x:c r="D626" s="11" t="str">
        <x:v>»Mama, bitte lern Deutsch«</x:v>
      </x:c>
      <x:c r="E626" s="11" t="str">
        <x:v>Tahsim Durgun</x:v>
      </x:c>
      <x:c r="F626" s="11" t="str">
        <x:v>Official #BookTok Top 20</x:v>
      </x:c>
      <x:c r="G626" s="11" t="str">
        <x:v>Media Control &amp; TikTok</x:v>
      </x:c>
      <x:c r="H626" s="11" t="n">
        <x:v>202511</x:v>
      </x:c>
      <x:c r="I626" s="11" t="str">
        <x:v>Complete</x:v>
      </x:c>
      <x:c r="J626" s="11" t="str">
        <x:v>Yes</x:v>
      </x:c>
    </x:row>
    <x:row r="627">
      <x:c r="A627" s="11" t="str">
        <x:v>2025-11</x:v>
      </x:c>
      <x:c r="B627" s="11" t="n">
        <x:v>19</x:v>
      </x:c>
      <x:c r="C627" s="11" t="str">
        <x:v>Lights Out</x:v>
      </x:c>
      <x:c r="D627" s="11" t="str">
        <x:v>Lights Out</x:v>
      </x:c>
      <x:c r="E627" s="11" t="str">
        <x:v>Navessa Allen</x:v>
      </x:c>
      <x:c r="F627" s="11" t="str">
        <x:v>Official #BookTok Top 20</x:v>
      </x:c>
      <x:c r="G627" s="11" t="str">
        <x:v>Media Control &amp; TikTok</x:v>
      </x:c>
      <x:c r="H627" s="11" t="n">
        <x:v>202511</x:v>
      </x:c>
      <x:c r="I627" s="11" t="str">
        <x:v>Complete</x:v>
      </x:c>
      <x:c r="J627" s="11" t="str">
        <x:v>Yes</x:v>
      </x:c>
    </x:row>
    <x:row r="628">
      <x:c r="A628" s="11" t="str">
        <x:v>2025-11</x:v>
      </x:c>
      <x:c r="B628" s="11" t="n">
        <x:v>20</x:v>
      </x:c>
      <x:c r="C628" s="11" t="str">
        <x:v>Die 1%-Methode - Minimale Veränderung, maximale Wirkung</x:v>
      </x:c>
      <x:c r="D628" s="11" t="str">
        <x:v>Die 1%-Methode - Minimale Veränderung, maximale Wirkung</x:v>
      </x:c>
      <x:c r="E628" s="11" t="str">
        <x:v>James Clear</x:v>
      </x:c>
      <x:c r="F628" s="11" t="str">
        <x:v>Official #BookTok Top 20</x:v>
      </x:c>
      <x:c r="G628" s="11" t="str">
        <x:v>Media Control &amp; TikTok</x:v>
      </x:c>
      <x:c r="H628" s="11" t="n">
        <x:v>202511</x:v>
      </x:c>
      <x:c r="I628" s="11" t="str">
        <x:v>Complete</x:v>
      </x:c>
      <x:c r="J628" s="11" t="str">
        <x:v>Yes</x:v>
      </x:c>
    </x:row>
    <x:row r="629">
      <x:c r="A629" s="11" t="str">
        <x:v>2025-12</x:v>
      </x:c>
      <x:c r="B629" s="11" t="n">
        <x:v>1</x:v>
      </x:c>
      <x:c r="C629" s="11" t="str">
        <x:v>Little Liar</x:v>
      </x:c>
      <x:c r="D629" s="11" t="str">
        <x:v>Little Liar</x:v>
      </x:c>
      <x:c r="E629" s="11" t="str">
        <x:v>Leigh Rivers</x:v>
      </x:c>
      <x:c r="F629" s="11" t="str">
        <x:v>Official #BookTok Top 20</x:v>
      </x:c>
      <x:c r="G629" s="11" t="str">
        <x:v>Media Control &amp; TikTok</x:v>
      </x:c>
      <x:c r="H629" s="11" t="n">
        <x:v>202512</x:v>
      </x:c>
      <x:c r="I629" s="11" t="str">
        <x:v>Complete</x:v>
      </x:c>
      <x:c r="J629" s="11" t="str">
        <x:v>Yes</x:v>
      </x:c>
    </x:row>
    <x:row r="630">
      <x:c r="A630" s="11" t="str">
        <x:v>2025-12</x:v>
      </x:c>
      <x:c r="B630" s="11" t="n">
        <x:v>2</x:v>
      </x:c>
      <x:c r="C630" s="11" t="str">
        <x:v>Your Knife, My Heart</x:v>
      </x:c>
      <x:c r="D630" s="11" t="str">
        <x:v>Your Knife, My Heart</x:v>
      </x:c>
      <x:c r="E630" s="11" t="str">
        <x:v>K M Moronova</x:v>
      </x:c>
      <x:c r="F630" s="11" t="str">
        <x:v>Official #BookTok Top 20</x:v>
      </x:c>
      <x:c r="G630" s="11" t="str">
        <x:v>Media Control &amp; TikTok</x:v>
      </x:c>
      <x:c r="H630" s="11" t="n">
        <x:v>202512</x:v>
      </x:c>
      <x:c r="I630" s="11" t="str">
        <x:v>Complete</x:v>
      </x:c>
      <x:c r="J630" s="11" t="str">
        <x:v>Yes</x:v>
      </x:c>
    </x:row>
    <x:row r="631">
      <x:c r="A631" s="11" t="str">
        <x:v>2025-12</x:v>
      </x:c>
      <x:c r="B631" s="11" t="n">
        <x:v>3</x:v>
      </x:c>
      <x:c r="C631" s="11" t="str">
        <x:v>Alchemised</x:v>
      </x:c>
      <x:c r="D631" s="11" t="str">
        <x:v>Alchemised</x:v>
      </x:c>
      <x:c r="E631" s="11" t="str">
        <x:v>SenLinYu</x:v>
      </x:c>
      <x:c r="F631" s="11" t="str">
        <x:v>Official #BookTok Top 20</x:v>
      </x:c>
      <x:c r="G631" s="11" t="str">
        <x:v>Media Control &amp; TikTok</x:v>
      </x:c>
      <x:c r="H631" s="11" t="n">
        <x:v>202512</x:v>
      </x:c>
      <x:c r="I631" s="11" t="str">
        <x:v>Complete</x:v>
      </x:c>
      <x:c r="J631" s="11" t="str">
        <x:v>Yes</x:v>
      </x:c>
    </x:row>
    <x:row r="632">
      <x:c r="A632" s="11" t="str">
        <x:v>2025-12</x:v>
      </x:c>
      <x:c r="B632" s="11" t="n">
        <x:v>4</x:v>
      </x:c>
      <x:c r="C632" s="11" t="str">
        <x:v>22 Bahnen</x:v>
      </x:c>
      <x:c r="D632" s="11" t="str">
        <x:v>22 Bahnen</x:v>
      </x:c>
      <x:c r="E632" s="11" t="str">
        <x:v>Caroline Wahl</x:v>
      </x:c>
      <x:c r="F632" s="11" t="str">
        <x:v>Official #BookTok Top 20</x:v>
      </x:c>
      <x:c r="G632" s="11" t="str">
        <x:v>Media Control &amp; TikTok</x:v>
      </x:c>
      <x:c r="H632" s="11" t="n">
        <x:v>202512</x:v>
      </x:c>
      <x:c r="I632" s="11" t="str">
        <x:v>Complete</x:v>
      </x:c>
      <x:c r="J632" s="11" t="str">
        <x:v>Yes</x:v>
      </x:c>
    </x:row>
    <x:row r="633">
      <x:c r="A633" s="11" t="str">
        <x:v>2025-12</x:v>
      </x:c>
      <x:c r="B633" s="11" t="n">
        <x:v>5</x:v>
      </x:c>
      <x:c r="C633" s="11" t="str">
        <x:v>Die LET THEM Theorie</x:v>
      </x:c>
      <x:c r="D633" s="11" t="str">
        <x:v>Die LET THEM Theorie</x:v>
      </x:c>
      <x:c r="E633" s="11" t="str">
        <x:v>Mel Robbins, Sawyer Robbins</x:v>
      </x:c>
      <x:c r="F633" s="11" t="str">
        <x:v>Official #BookTok Top 20</x:v>
      </x:c>
      <x:c r="G633" s="11" t="str">
        <x:v>Media Control &amp; TikTok</x:v>
      </x:c>
      <x:c r="H633" s="11" t="n">
        <x:v>202512</x:v>
      </x:c>
      <x:c r="I633" s="11" t="str">
        <x:v>Complete</x:v>
      </x:c>
      <x:c r="J633" s="11" t="str">
        <x:v>Yes</x:v>
      </x:c>
    </x:row>
    <x:row r="634">
      <x:c r="A634" s="11" t="str">
        <x:v>2025-12</x:v>
      </x:c>
      <x:c r="B634" s="11" t="n">
        <x:v>6</x:v>
      </x:c>
      <x:c r="C634" s="11" t="str">
        <x:v>Wehe du gibst auf</x:v>
      </x:c>
      <x:c r="D634" s="11" t="str">
        <x:v>Wehe du gibst auf</x:v>
      </x:c>
      <x:c r="E634" s="11" t="str">
        <x:v>Clara Lösel</x:v>
      </x:c>
      <x:c r="F634" s="11" t="str">
        <x:v>Official #BookTok Top 20</x:v>
      </x:c>
      <x:c r="G634" s="11" t="str">
        <x:v>Media Control &amp; TikTok</x:v>
      </x:c>
      <x:c r="H634" s="11" t="n">
        <x:v>202512</x:v>
      </x:c>
      <x:c r="I634" s="11" t="str">
        <x:v>Complete</x:v>
      </x:c>
      <x:c r="J634" s="11" t="str">
        <x:v>Yes</x:v>
      </x:c>
    </x:row>
    <x:row r="635">
      <x:c r="A635" s="11" t="str">
        <x:v>2025-12</x:v>
      </x:c>
      <x:c r="B635" s="11" t="n">
        <x:v>7</x:v>
      </x:c>
      <x:c r="C635" s="11" t="str">
        <x:v>Qwert</x:v>
      </x:c>
      <x:c r="D635" s="11" t="str">
        <x:v>Qwert</x:v>
      </x:c>
      <x:c r="E635" s="11" t="str">
        <x:v>Walter Moers</x:v>
      </x:c>
      <x:c r="F635" s="11" t="str">
        <x:v>Official #BookTok Top 20</x:v>
      </x:c>
      <x:c r="G635" s="11" t="str">
        <x:v>Media Control &amp; TikTok</x:v>
      </x:c>
      <x:c r="H635" s="11" t="n">
        <x:v>202512</x:v>
      </x:c>
      <x:c r="I635" s="11" t="str">
        <x:v>Complete</x:v>
      </x:c>
      <x:c r="J635" s="11" t="str">
        <x:v>Yes</x:v>
      </x:c>
    </x:row>
    <x:row r="636">
      <x:c r="A636" s="11" t="str">
        <x:v>2025-12</x:v>
      </x:c>
      <x:c r="B636" s="11" t="n">
        <x:v>8</x:v>
      </x:c>
      <x:c r="C636" s="11" t="str">
        <x:v>Frankie</x:v>
      </x:c>
      <x:c r="D636" s="11" t="str">
        <x:v>Frankie</x:v>
      </x:c>
      <x:c r="E636" s="11" t="str">
        <x:v>Jochen Gutsch, Maxim Leo</x:v>
      </x:c>
      <x:c r="F636" s="11" t="str">
        <x:v>Official #BookTok Top 20</x:v>
      </x:c>
      <x:c r="G636" s="11" t="str">
        <x:v>Media Control &amp; TikTok</x:v>
      </x:c>
      <x:c r="H636" s="11" t="n">
        <x:v>202512</x:v>
      </x:c>
      <x:c r="I636" s="11" t="str">
        <x:v>Complete</x:v>
      </x:c>
      <x:c r="J636" s="11" t="str">
        <x:v>Yes</x:v>
      </x:c>
    </x:row>
    <x:row r="637">
      <x:c r="A637" s="11" t="str">
        <x:v>2025-12</x:v>
      </x:c>
      <x:c r="B637" s="11" t="n">
        <x:v>9</x:v>
      </x:c>
      <x:c r="C637" s="11" t="str">
        <x:v>Das Mädchen aus Yorkshire</x:v>
      </x:c>
      <x:c r="D637" s="11" t="str">
        <x:v>Das Mädchen aus Yorkshire</x:v>
      </x:c>
      <x:c r="E637" s="11" t="str">
        <x:v>Lucinda Riley</x:v>
      </x:c>
      <x:c r="F637" s="11" t="str">
        <x:v>Official #BookTok Top 20</x:v>
      </x:c>
      <x:c r="G637" s="11" t="str">
        <x:v>Media Control &amp; TikTok</x:v>
      </x:c>
      <x:c r="H637" s="11" t="n">
        <x:v>202512</x:v>
      </x:c>
      <x:c r="I637" s="11" t="str">
        <x:v>Complete</x:v>
      </x:c>
      <x:c r="J637" s="11" t="str">
        <x:v>Yes</x:v>
      </x:c>
    </x:row>
    <x:row r="638">
      <x:c r="A638" s="11" t="str">
        <x:v>2025-12</x:v>
      </x:c>
      <x:c r="B638" s="11" t="n">
        <x:v>10</x:v>
      </x:c>
      <x:c r="C638" s="11" t="str">
        <x:v>Die Frauen von Ballymore</x:v>
      </x:c>
      <x:c r="D638" s="11" t="str">
        <x:v>Die Frauen von Ballymore</x:v>
      </x:c>
      <x:c r="E638" s="11" t="str">
        <x:v>Lucinda Riley</x:v>
      </x:c>
      <x:c r="F638" s="11" t="str">
        <x:v>Official #BookTok Top 20</x:v>
      </x:c>
      <x:c r="G638" s="11" t="str">
        <x:v>Media Control &amp; TikTok</x:v>
      </x:c>
      <x:c r="H638" s="11" t="n">
        <x:v>202512</x:v>
      </x:c>
      <x:c r="I638" s="11" t="str">
        <x:v>Complete</x:v>
      </x:c>
      <x:c r="J638" s="11" t="str">
        <x:v>Yes</x:v>
      </x:c>
    </x:row>
    <x:row r="639">
      <x:c r="A639" s="11" t="str">
        <x:v>2025-12</x:v>
      </x:c>
      <x:c r="B639" s="11" t="n">
        <x:v>11</x:v>
      </x:c>
      <x:c r="C639" s="11" t="str">
        <x:v>Windstärke 17</x:v>
      </x:c>
      <x:c r="D639" s="11" t="str">
        <x:v>Windstärke 17</x:v>
      </x:c>
      <x:c r="E639" s="11" t="str">
        <x:v>Caroline Wahl</x:v>
      </x:c>
      <x:c r="F639" s="11" t="str">
        <x:v>Official #BookTok Top 20</x:v>
      </x:c>
      <x:c r="G639" s="11" t="str">
        <x:v>Media Control &amp; TikTok</x:v>
      </x:c>
      <x:c r="H639" s="11" t="n">
        <x:v>202512</x:v>
      </x:c>
      <x:c r="I639" s="11" t="str">
        <x:v>Complete</x:v>
      </x:c>
      <x:c r="J639" s="11" t="str">
        <x:v>Yes</x:v>
      </x:c>
    </x:row>
    <x:row r="640">
      <x:c r="A640" s="11" t="str">
        <x:v>2025-12</x:v>
      </x:c>
      <x:c r="B640" s="11" t="n">
        <x:v>12</x:v>
      </x:c>
      <x:c r="C640" s="11" t="str">
        <x:v>»Mama, bitte lern Deutsch«</x:v>
      </x:c>
      <x:c r="D640" s="11" t="str">
        <x:v>»Mama, bitte lern Deutsch«</x:v>
      </x:c>
      <x:c r="E640" s="11" t="str">
        <x:v>Tahsim Durgun</x:v>
      </x:c>
      <x:c r="F640" s="11" t="str">
        <x:v>Official #BookTok Top 20</x:v>
      </x:c>
      <x:c r="G640" s="11" t="str">
        <x:v>Media Control &amp; TikTok</x:v>
      </x:c>
      <x:c r="H640" s="11" t="n">
        <x:v>202512</x:v>
      </x:c>
      <x:c r="I640" s="11" t="str">
        <x:v>Complete</x:v>
      </x:c>
      <x:c r="J640" s="11" t="str">
        <x:v>Yes</x:v>
      </x:c>
    </x:row>
    <x:row r="641">
      <x:c r="A641" s="11" t="str">
        <x:v>2025-12</x:v>
      </x:c>
      <x:c r="B641" s="11" t="n">
        <x:v>13</x:v>
      </x:c>
      <x:c r="C641" s="11" t="str">
        <x:v>Die 1%-Methode - Minimale Veränderung, maximale Wirkung</x:v>
      </x:c>
      <x:c r="D641" s="11" t="str">
        <x:v>Die 1%-Methode - Minimale Veränderung, maximale Wirkung</x:v>
      </x:c>
      <x:c r="E641" s="11" t="str">
        <x:v>James Clear</x:v>
      </x:c>
      <x:c r="F641" s="11" t="str">
        <x:v>Official #BookTok Top 20</x:v>
      </x:c>
      <x:c r="G641" s="11" t="str">
        <x:v>Media Control &amp; TikTok</x:v>
      </x:c>
      <x:c r="H641" s="11" t="n">
        <x:v>202512</x:v>
      </x:c>
      <x:c r="I641" s="11" t="str">
        <x:v>Complete</x:v>
      </x:c>
      <x:c r="J641" s="11" t="str">
        <x:v>Yes</x:v>
      </x:c>
    </x:row>
    <x:row r="642">
      <x:c r="A642" s="11" t="str">
        <x:v>2025-12</x:v>
      </x:c>
      <x:c r="B642" s="11" t="n">
        <x:v>14</x:v>
      </x:c>
      <x:c r="C642" s="11" t="str">
        <x:v>Ikigai</x:v>
      </x:c>
      <x:c r="D642" s="11" t="str">
        <x:v>Ikigai</x:v>
      </x:c>
      <x:c r="E642" s="11" t="str">
        <x:v>Ken Mogi</x:v>
      </x:c>
      <x:c r="F642" s="11" t="str">
        <x:v>Official #BookTok Top 20</x:v>
      </x:c>
      <x:c r="G642" s="11" t="str">
        <x:v>Media Control &amp; TikTok</x:v>
      </x:c>
      <x:c r="H642" s="11" t="n">
        <x:v>202512</x:v>
      </x:c>
      <x:c r="I642" s="11" t="str">
        <x:v>Complete</x:v>
      </x:c>
      <x:c r="J642" s="11" t="str">
        <x:v>Yes</x:v>
      </x:c>
    </x:row>
    <x:row r="643">
      <x:c r="A643" s="11" t="str">
        <x:v>2025-12</x:v>
      </x:c>
      <x:c r="B643" s="11" t="n">
        <x:v>15</x:v>
      </x:c>
      <x:c r="C643" s="11" t="str">
        <x:v>Der Lehrer – Will er dir helfen oder will er deinen Tod?</x:v>
      </x:c>
      <x:c r="D643" s="11" t="str">
        <x:v>Der Lehrer – Will er dir helfen oder will er deinen Tod?</x:v>
      </x:c>
      <x:c r="E643" s="11" t="str">
        <x:v>Freida McFadden</x:v>
      </x:c>
      <x:c r="F643" s="11" t="str">
        <x:v>Official #BookTok Top 20</x:v>
      </x:c>
      <x:c r="G643" s="11" t="str">
        <x:v>Media Control &amp; TikTok</x:v>
      </x:c>
      <x:c r="H643" s="11" t="n">
        <x:v>202512</x:v>
      </x:c>
      <x:c r="I643" s="11" t="str">
        <x:v>Complete</x:v>
      </x:c>
      <x:c r="J643" s="11" t="str">
        <x:v>Yes</x:v>
      </x:c>
    </x:row>
    <x:row r="644">
      <x:c r="A644" s="11" t="str">
        <x:v>2025-12</x:v>
      </x:c>
      <x:c r="B644" s="11" t="n">
        <x:v>16</x:v>
      </x:c>
      <x:c r="C644" s="11" t="str">
        <x:v>Das Jahr voller Bücher und Wunder</x:v>
      </x:c>
      <x:c r="D644" s="11" t="str">
        <x:v>Das Jahr voller Bücher und Wunder</x:v>
      </x:c>
      <x:c r="E644" s="11" t="str">
        <x:v>Libby Page</x:v>
      </x:c>
      <x:c r="F644" s="11" t="str">
        <x:v>Official #BookTok Top 20</x:v>
      </x:c>
      <x:c r="G644" s="11" t="str">
        <x:v>Media Control &amp; TikTok</x:v>
      </x:c>
      <x:c r="H644" s="11" t="n">
        <x:v>202512</x:v>
      </x:c>
      <x:c r="I644" s="11" t="str">
        <x:v>Complete</x:v>
      </x:c>
      <x:c r="J644" s="11" t="str">
        <x:v>Yes</x:v>
      </x:c>
    </x:row>
    <x:row r="645">
      <x:c r="A645" s="11" t="str">
        <x:v>2025-12</x:v>
      </x:c>
      <x:c r="B645" s="11" t="n">
        <x:v>17</x:v>
      </x:c>
      <x:c r="C645" s="11" t="str">
        <x:v>My Blade, Your Back</x:v>
      </x:c>
      <x:c r="D645" s="11" t="str">
        <x:v>My Blade, Your Back</x:v>
      </x:c>
      <x:c r="E645" s="11" t="str">
        <x:v>K M Moronova</x:v>
      </x:c>
      <x:c r="F645" s="11" t="str">
        <x:v>Official #BookTok Top 20</x:v>
      </x:c>
      <x:c r="G645" s="11" t="str">
        <x:v>Media Control &amp; TikTok</x:v>
      </x:c>
      <x:c r="H645" s="11" t="n">
        <x:v>202512</x:v>
      </x:c>
      <x:c r="I645" s="11" t="str">
        <x:v>Complete</x:v>
      </x:c>
      <x:c r="J645" s="11" t="str">
        <x:v>Yes</x:v>
      </x:c>
    </x:row>
    <x:row r="646">
      <x:c r="A646" s="11" t="str">
        <x:v>2025-12</x:v>
      </x:c>
      <x:c r="B646" s="11" t="n">
        <x:v>18</x:v>
      </x:c>
      <x:c r="C646" s="11" t="str">
        <x:v>Royal Heist</x:v>
      </x:c>
      <x:c r="D646" s="11" t="str">
        <x:v>Royal Heist</x:v>
      </x:c>
      <x:c r="E646" s="11" t="str">
        <x:v>Lena Kiefer</x:v>
      </x:c>
      <x:c r="F646" s="11" t="str">
        <x:v>Official #BookTok Top 20</x:v>
      </x:c>
      <x:c r="G646" s="11" t="str">
        <x:v>Media Control &amp; TikTok</x:v>
      </x:c>
      <x:c r="H646" s="11" t="n">
        <x:v>202512</x:v>
      </x:c>
      <x:c r="I646" s="11" t="str">
        <x:v>Complete</x:v>
      </x:c>
      <x:c r="J646" s="11" t="str">
        <x:v>Yes</x:v>
      </x:c>
    </x:row>
    <x:row r="647">
      <x:c r="A647" s="11" t="str">
        <x:v>2025-12</x:v>
      </x:c>
      <x:c r="B647" s="11" t="n">
        <x:v>19</x:v>
      </x:c>
      <x:c r="C647" s="11" t="str">
        <x:v>Hensslers Schnelle Nummer – morgens, mittags, abends</x:v>
      </x:c>
      <x:c r="D647" s="11" t="str">
        <x:v>Hensslers Schnelle Nummer – morgens, mittags, abends</x:v>
      </x:c>
      <x:c r="E647" s="11" t="str">
        <x:v>Steffen Henssler</x:v>
      </x:c>
      <x:c r="F647" s="11" t="str">
        <x:v>Official #BookTok Top 20</x:v>
      </x:c>
      <x:c r="G647" s="11" t="str">
        <x:v>Media Control &amp; TikTok</x:v>
      </x:c>
      <x:c r="H647" s="11" t="n">
        <x:v>202512</x:v>
      </x:c>
      <x:c r="I647" s="11" t="str">
        <x:v>Complete</x:v>
      </x:c>
      <x:c r="J647" s="11" t="str">
        <x:v>Yes</x:v>
      </x:c>
    </x:row>
    <x:row r="648">
      <x:c r="A648" s="11" t="str">
        <x:v>2025-12</x:v>
      </x:c>
      <x:c r="B648" s="11" t="n">
        <x:v>20</x:v>
      </x:c>
      <x:c r="C648" s="11" t="str">
        <x:v>Die Mitternachtsbibliothek</x:v>
      </x:c>
      <x:c r="D648" s="11" t="str">
        <x:v>Die Mitternachtsbibliothek</x:v>
      </x:c>
      <x:c r="E648" s="11" t="str">
        <x:v>Matt Haig</x:v>
      </x:c>
      <x:c r="F648" s="11" t="str">
        <x:v>Official #BookTok Top 20</x:v>
      </x:c>
      <x:c r="G648" s="11" t="str">
        <x:v>Media Control &amp; TikTok</x:v>
      </x:c>
      <x:c r="H648" s="11" t="n">
        <x:v>202512</x:v>
      </x:c>
      <x:c r="I648" s="11" t="str">
        <x:v>Complete</x:v>
      </x:c>
      <x:c r="J648" s="11" t="str">
        <x:v>Yes</x:v>
      </x:c>
    </x:row>
    <x:row r="649">
      <x:c r="A649" t="str">
        <x:v>2026-01</x:v>
      </x:c>
      <x:c r="B649" t="n">
        <x:v>1</x:v>
      </x:c>
      <x:c r="C649" t="str">
        <x:v>Wehe du gibst auf</x:v>
      </x:c>
      <x:c r="D649" t="str">
        <x:v>Wehe du gibst auf</x:v>
      </x:c>
      <x:c r="E649" t="str">
        <x:v>Clara Lösel</x:v>
      </x:c>
      <x:c r="F649" t="str">
        <x:v>Official #BookTok Top 20</x:v>
      </x:c>
      <x:c r="G649" t="str">
        <x:v>Media Control &amp; TikTok</x:v>
      </x:c>
      <x:c r="H649" t="n">
        <x:v>202601</x:v>
      </x:c>
      <x:c r="I649" t="str">
        <x:v>Complete</x:v>
      </x:c>
      <x:c r="J649" t="str">
        <x:v>Yes</x:v>
      </x:c>
    </x:row>
    <x:row r="650">
      <x:c r="A650" t="str">
        <x:v>2026-01</x:v>
      </x:c>
      <x:c r="B650" t="n">
        <x:v>2</x:v>
      </x:c>
      <x:c r="C650" t="str">
        <x:v>On Wings of Blood</x:v>
      </x:c>
      <x:c r="D650" t="str">
        <x:v>On Wings of Blood</x:v>
      </x:c>
      <x:c r="E650" t="str">
        <x:v>Briar Boleyn</x:v>
      </x:c>
      <x:c r="F650" t="str">
        <x:v>Official #BookTok Top 20</x:v>
      </x:c>
      <x:c r="G650" t="str">
        <x:v>Media Control &amp; TikTok</x:v>
      </x:c>
      <x:c r="H650" t="n">
        <x:v>202601</x:v>
      </x:c>
      <x:c r="I650" t="str">
        <x:v>Complete</x:v>
      </x:c>
      <x:c r="J650" t="str">
        <x:v>Yes</x:v>
      </x:c>
    </x:row>
    <x:row r="651">
      <x:c r="A651" t="str">
        <x:v>2026-01</x:v>
      </x:c>
      <x:c r="B651" t="n">
        <x:v>3</x:v>
      </x:c>
      <x:c r="C651" t="str">
        <x:v>Leave Me Behind</x:v>
      </x:c>
      <x:c r="D651" t="str">
        <x:v>Leave Me Behind</x:v>
      </x:c>
      <x:c r="E651" t="str">
        <x:v>K M Moronova</x:v>
      </x:c>
      <x:c r="F651" t="str">
        <x:v>Official #BookTok Top 20</x:v>
      </x:c>
      <x:c r="G651" t="str">
        <x:v>Media Control &amp; TikTok</x:v>
      </x:c>
      <x:c r="H651" t="n">
        <x:v>202601</x:v>
      </x:c>
      <x:c r="I651" t="str">
        <x:v>Complete</x:v>
      </x:c>
      <x:c r="J651" t="str">
        <x:v>Yes</x:v>
      </x:c>
    </x:row>
    <x:row r="652">
      <x:c r="A652" t="str">
        <x:v>2026-01</x:v>
      </x:c>
      <x:c r="B652" t="n">
        <x:v>4</x:v>
      </x:c>
      <x:c r="C652" t="str">
        <x:v>»Mama, bitte lern Deutsch«</x:v>
      </x:c>
      <x:c r="D652" t="str">
        <x:v>»Mama, bitte lern Deutsch«</x:v>
      </x:c>
      <x:c r="E652" t="str">
        <x:v>Tahsim Durgun</x:v>
      </x:c>
      <x:c r="F652" t="str">
        <x:v>Official #BookTok Top 20</x:v>
      </x:c>
      <x:c r="G652" t="str">
        <x:v>Media Control &amp; TikTok</x:v>
      </x:c>
      <x:c r="H652" t="n">
        <x:v>202601</x:v>
      </x:c>
      <x:c r="I652" t="str">
        <x:v>Complete</x:v>
      </x:c>
      <x:c r="J652" t="str">
        <x:v>Yes</x:v>
      </x:c>
    </x:row>
    <x:row r="653">
      <x:c r="A653" t="str">
        <x:v>2026-01</x:v>
      </x:c>
      <x:c r="B653" t="n">
        <x:v>5</x:v>
      </x:c>
      <x:c r="C653" t="str">
        <x:v>Alchemised</x:v>
      </x:c>
      <x:c r="D653" t="str">
        <x:v>Alchemised</x:v>
      </x:c>
      <x:c r="E653" t="str">
        <x:v>SenLinYu</x:v>
      </x:c>
      <x:c r="F653" t="str">
        <x:v>Official #BookTok Top 20</x:v>
      </x:c>
      <x:c r="G653" t="str">
        <x:v>Media Control &amp; TikTok</x:v>
      </x:c>
      <x:c r="H653" t="n">
        <x:v>202601</x:v>
      </x:c>
      <x:c r="I653" t="str">
        <x:v>Complete</x:v>
      </x:c>
      <x:c r="J653" t="str">
        <x:v>Yes</x:v>
      </x:c>
    </x:row>
    <x:row r="654">
      <x:c r="A654" t="str">
        <x:v>2026-01</x:v>
      </x:c>
      <x:c r="B654" t="n">
        <x:v>6</x:v>
      </x:c>
      <x:c r="C654" t="str">
        <x:v>Rush In</x:v>
      </x:c>
      <x:c r="D654" t="str">
        <x:v>Rush In</x:v>
      </x:c>
      <x:c r="E654" t="str">
        <x:v>Navessa Allen</x:v>
      </x:c>
      <x:c r="F654" t="str">
        <x:v>Official #BookTok Top 20</x:v>
      </x:c>
      <x:c r="G654" t="str">
        <x:v>Media Control &amp; TikTok</x:v>
      </x:c>
      <x:c r="H654" t="n">
        <x:v>202601</x:v>
      </x:c>
      <x:c r="I654" t="str">
        <x:v>Complete</x:v>
      </x:c>
      <x:c r="J654" t="str">
        <x:v>Yes</x:v>
      </x:c>
    </x:row>
    <x:row r="655">
      <x:c r="A655" t="str">
        <x:v>2026-01</x:v>
      </x:c>
      <x:c r="B655" t="n">
        <x:v>7</x:v>
      </x:c>
      <x:c r="C655" t="str">
        <x:v>Silver Lights - The more I love you</x:v>
      </x:c>
      <x:c r="D655" t="str">
        <x:v>Silver Lights - The more I love you</x:v>
      </x:c>
      <x:c r="E655" t="str">
        <x:v>Bianca Iosivoni</x:v>
      </x:c>
      <x:c r="F655" t="str">
        <x:v>Official #BookTok Top 20</x:v>
      </x:c>
      <x:c r="G655" t="str">
        <x:v>Media Control &amp; TikTok</x:v>
      </x:c>
      <x:c r="H655" t="n">
        <x:v>202601</x:v>
      </x:c>
      <x:c r="I655" t="str">
        <x:v>Complete</x:v>
      </x:c>
      <x:c r="J655" t="str">
        <x:v>Yes</x:v>
      </x:c>
    </x:row>
    <x:row r="656">
      <x:c r="A656" t="str">
        <x:v>2026-01</x:v>
      </x:c>
      <x:c r="B656" t="n">
        <x:v>8</x:v>
      </x:c>
      <x:c r="C656" t="str">
        <x:v>Your Knife, My Heart</x:v>
      </x:c>
      <x:c r="D656" t="str">
        <x:v>Your Knife, My Heart</x:v>
      </x:c>
      <x:c r="E656" t="str">
        <x:v>K M Moronova</x:v>
      </x:c>
      <x:c r="F656" t="str">
        <x:v>Official #BookTok Top 20</x:v>
      </x:c>
      <x:c r="G656" t="str">
        <x:v>Media Control &amp; TikTok</x:v>
      </x:c>
      <x:c r="H656" t="n">
        <x:v>202601</x:v>
      </x:c>
      <x:c r="I656" t="str">
        <x:v>Complete</x:v>
      </x:c>
      <x:c r="J656" t="str">
        <x:v>Yes</x:v>
      </x:c>
    </x:row>
    <x:row r="657">
      <x:c r="A657" t="str">
        <x:v>2026-01</x:v>
      </x:c>
      <x:c r="B657" t="n">
        <x:v>9</x:v>
      </x:c>
      <x:c r="C657" t="str">
        <x:v>Die LET THEM Theorie</x:v>
      </x:c>
      <x:c r="D657" t="str">
        <x:v>Die LET THEM Theorie</x:v>
      </x:c>
      <x:c r="E657" t="str">
        <x:v>Mel Robbins, Sawyer Robbins</x:v>
      </x:c>
      <x:c r="F657" t="str">
        <x:v>Official #BookTok Top 20</x:v>
      </x:c>
      <x:c r="G657" t="str">
        <x:v>Media Control &amp; TikTok</x:v>
      </x:c>
      <x:c r="H657" t="n">
        <x:v>202601</x:v>
      </x:c>
      <x:c r="I657" t="str">
        <x:v>Complete</x:v>
      </x:c>
      <x:c r="J657" t="str">
        <x:v>Yes</x:v>
      </x:c>
    </x:row>
    <x:row r="658">
      <x:c r="A658" t="str">
        <x:v>2026-01</x:v>
      </x:c>
      <x:c r="B658" t="n">
        <x:v>10</x:v>
      </x:c>
      <x:c r="C658" t="str">
        <x:v>22 Bahnen</x:v>
      </x:c>
      <x:c r="D658" t="str">
        <x:v>22 Bahnen</x:v>
      </x:c>
      <x:c r="E658" t="str">
        <x:v>Caroline Wahl</x:v>
      </x:c>
      <x:c r="F658" t="str">
        <x:v>Official #BookTok Top 20</x:v>
      </x:c>
      <x:c r="G658" t="str">
        <x:v>Media Control &amp; TikTok</x:v>
      </x:c>
      <x:c r="H658" t="n">
        <x:v>202601</x:v>
      </x:c>
      <x:c r="I658" t="str">
        <x:v>Complete</x:v>
      </x:c>
      <x:c r="J658" t="str">
        <x:v>Yes</x:v>
      </x:c>
    </x:row>
    <x:row r="659">
      <x:c r="A659" t="str">
        <x:v>2026-01</x:v>
      </x:c>
      <x:c r="B659" t="n">
        <x:v>11</x:v>
      </x:c>
      <x:c r="C659" t="str">
        <x:v>My Blade, Your Back</x:v>
      </x:c>
      <x:c r="D659" t="str">
        <x:v>My Blade, Your Back</x:v>
      </x:c>
      <x:c r="E659" t="str">
        <x:v>K M Moronova</x:v>
      </x:c>
      <x:c r="F659" t="str">
        <x:v>Official #BookTok Top 20</x:v>
      </x:c>
      <x:c r="G659" t="str">
        <x:v>Media Control &amp; TikTok</x:v>
      </x:c>
      <x:c r="H659" t="n">
        <x:v>202601</x:v>
      </x:c>
      <x:c r="I659" t="str">
        <x:v>Complete</x:v>
      </x:c>
      <x:c r="J659" t="str">
        <x:v>Yes</x:v>
      </x:c>
    </x:row>
    <x:row r="660">
      <x:c r="A660" t="str">
        <x:v>2026-01</x:v>
      </x:c>
      <x:c r="B660" t="n">
        <x:v>12</x:v>
      </x:c>
      <x:c r="C660" t="str">
        <x:v>Woman Down</x:v>
      </x:c>
      <x:c r="D660" t="str">
        <x:v>Woman Down</x:v>
      </x:c>
      <x:c r="E660" t="str">
        <x:v>Colleen Hoover</x:v>
      </x:c>
      <x:c r="F660" t="str">
        <x:v>Official #BookTok Top 20</x:v>
      </x:c>
      <x:c r="G660" t="str">
        <x:v>Media Control &amp; TikTok</x:v>
      </x:c>
      <x:c r="H660" t="n">
        <x:v>202601</x:v>
      </x:c>
      <x:c r="I660" t="str">
        <x:v>Complete</x:v>
      </x:c>
      <x:c r="J660" t="str">
        <x:v>Yes</x:v>
      </x:c>
    </x:row>
    <x:row r="661">
      <x:c r="A661" t="str">
        <x:v>2026-01</x:v>
      </x:c>
      <x:c r="B661" t="n">
        <x:v>13</x:v>
      </x:c>
      <x:c r="C661" t="str">
        <x:v>Die 1%-Methode - Minimale Veränderung, maximale Wirkung</x:v>
      </x:c>
      <x:c r="D661" t="str">
        <x:v>Die 1%-Methode - Minimale Veränderung, maximale Wirkung</x:v>
      </x:c>
      <x:c r="E661" t="str">
        <x:v>James Clear</x:v>
      </x:c>
      <x:c r="F661" t="str">
        <x:v>Official #BookTok Top 20</x:v>
      </x:c>
      <x:c r="G661" t="str">
        <x:v>Media Control &amp; TikTok</x:v>
      </x:c>
      <x:c r="H661" t="n">
        <x:v>202601</x:v>
      </x:c>
      <x:c r="I661" t="str">
        <x:v>Complete</x:v>
      </x:c>
      <x:c r="J661" t="str">
        <x:v>Yes</x:v>
      </x:c>
    </x:row>
    <x:row r="662">
      <x:c r="A662" t="str">
        <x:v>2026-01</x:v>
      </x:c>
      <x:c r="B662" t="n">
        <x:v>14</x:v>
      </x:c>
      <x:c r="C662" t="str">
        <x:v>Windstärke 17</x:v>
      </x:c>
      <x:c r="D662" t="str">
        <x:v>Windstärke 17</x:v>
      </x:c>
      <x:c r="E662" t="str">
        <x:v>Caroline Wahl</x:v>
      </x:c>
      <x:c r="F662" t="str">
        <x:v>Official #BookTok Top 20</x:v>
      </x:c>
      <x:c r="G662" t="str">
        <x:v>Media Control &amp; TikTok</x:v>
      </x:c>
      <x:c r="H662" t="n">
        <x:v>202601</x:v>
      </x:c>
      <x:c r="I662" t="str">
        <x:v>Complete</x:v>
      </x:c>
      <x:c r="J662" t="str">
        <x:v>Yes</x:v>
      </x:c>
    </x:row>
    <x:row r="663">
      <x:c r="A663" t="str">
        <x:v>2026-01</x:v>
      </x:c>
      <x:c r="B663" t="n">
        <x:v>15</x:v>
      </x:c>
      <x:c r="C663" t="str">
        <x:v>Children of Fallen Gods (War of Lost Hearts 2)</x:v>
      </x:c>
      <x:c r="D663" t="str">
        <x:v>Children of Fallen Gods (War of Lost Hearts 2)</x:v>
      </x:c>
      <x:c r="E663" t="str">
        <x:v>Carissa Broadbent</x:v>
      </x:c>
      <x:c r="F663" t="str">
        <x:v>Official #BookTok Top 20</x:v>
      </x:c>
      <x:c r="G663" t="str">
        <x:v>Media Control &amp; TikTok</x:v>
      </x:c>
      <x:c r="H663" t="n">
        <x:v>202601</x:v>
      </x:c>
      <x:c r="I663" t="str">
        <x:v>Complete</x:v>
      </x:c>
      <x:c r="J663" t="str">
        <x:v>Yes</x:v>
      </x:c>
    </x:row>
    <x:row r="664">
      <x:c r="A664" t="str">
        <x:v>2026-01</x:v>
      </x:c>
      <x:c r="B664" t="n">
        <x:v>16</x:v>
      </x:c>
      <x:c r="C664" t="str">
        <x:v>Das Mädchen aus Yorkshire</x:v>
      </x:c>
      <x:c r="D664" t="str">
        <x:v>Das Mädchen aus Yorkshire</x:v>
      </x:c>
      <x:c r="E664" t="str">
        <x:v>Lucinda Riley</x:v>
      </x:c>
      <x:c r="F664" t="str">
        <x:v>Official #BookTok Top 20</x:v>
      </x:c>
      <x:c r="G664" t="str">
        <x:v>Media Control &amp; TikTok</x:v>
      </x:c>
      <x:c r="H664" t="n">
        <x:v>202601</x:v>
      </x:c>
      <x:c r="I664" t="str">
        <x:v>Complete</x:v>
      </x:c>
      <x:c r="J664" t="str">
        <x:v>Yes</x:v>
      </x:c>
    </x:row>
    <x:row r="665">
      <x:c r="A665" t="str">
        <x:v>2026-01</x:v>
      </x:c>
      <x:c r="B665" t="n">
        <x:v>17</x:v>
      </x:c>
      <x:c r="C665" t="str">
        <x:v>Das Kind in dir muss Heimat finden</x:v>
      </x:c>
      <x:c r="D665" t="str">
        <x:v>Das Kind in dir muss Heimat finden</x:v>
      </x:c>
      <x:c r="E665" t="str">
        <x:v>Stefanie Stahl</x:v>
      </x:c>
      <x:c r="F665" t="str">
        <x:v>Official #BookTok Top 20</x:v>
      </x:c>
      <x:c r="G665" t="str">
        <x:v>Media Control &amp; TikTok</x:v>
      </x:c>
      <x:c r="H665" t="n">
        <x:v>202601</x:v>
      </x:c>
      <x:c r="I665" t="str">
        <x:v>Complete</x:v>
      </x:c>
      <x:c r="J665" t="str">
        <x:v>Yes</x:v>
      </x:c>
    </x:row>
    <x:row r="666">
      <x:c r="A666" t="str">
        <x:v>2026-01</x:v>
      </x:c>
      <x:c r="B666" t="n">
        <x:v>18</x:v>
      </x:c>
      <x:c r="C666" t="str">
        <x:v>Ikigai</x:v>
      </x:c>
      <x:c r="D666" t="str">
        <x:v>Ikigai</x:v>
      </x:c>
      <x:c r="E666" t="str">
        <x:v>Ken Mogi</x:v>
      </x:c>
      <x:c r="F666" t="str">
        <x:v>Official #BookTok Top 20</x:v>
      </x:c>
      <x:c r="G666" t="str">
        <x:v>Media Control &amp; TikTok</x:v>
      </x:c>
      <x:c r="H666" t="n">
        <x:v>202601</x:v>
      </x:c>
      <x:c r="I666" t="str">
        <x:v>Complete</x:v>
      </x:c>
      <x:c r="J666" t="str">
        <x:v>Yes</x:v>
      </x:c>
    </x:row>
    <x:row r="667">
      <x:c r="A667" t="str">
        <x:v>2026-01</x:v>
      </x:c>
      <x:c r="B667" t="n">
        <x:v>19</x:v>
      </x:c>
      <x:c r="C667" t="str">
        <x:v>Der Lehrer – Will er dir helfen oder will er deinen Tod?</x:v>
      </x:c>
      <x:c r="D667" t="str">
        <x:v>Der Lehrer – Will er dir helfen oder will er deinen Tod?</x:v>
      </x:c>
      <x:c r="E667" t="str">
        <x:v>Freida McFadden</x:v>
      </x:c>
      <x:c r="F667" t="str">
        <x:v>Official #BookTok Top 20</x:v>
      </x:c>
      <x:c r="G667" t="str">
        <x:v>Media Control &amp; TikTok</x:v>
      </x:c>
      <x:c r="H667" t="n">
        <x:v>202601</x:v>
      </x:c>
      <x:c r="I667" t="str">
        <x:v>Complete</x:v>
      </x:c>
      <x:c r="J667" t="str">
        <x:v>Yes</x:v>
      </x:c>
    </x:row>
    <x:row r="668">
      <x:c r="A668" t="str">
        <x:v>2026-01</x:v>
      </x:c>
      <x:c r="B668" t="n">
        <x:v>20</x:v>
      </x:c>
      <x:c r="C668" t="str">
        <x:v>Lights Out</x:v>
      </x:c>
      <x:c r="D668" t="str">
        <x:v>Lights Out</x:v>
      </x:c>
      <x:c r="E668" t="str">
        <x:v>Navessa Allen</x:v>
      </x:c>
      <x:c r="F668" t="str">
        <x:v>Official #BookTok Top 20</x:v>
      </x:c>
      <x:c r="G668" t="str">
        <x:v>Media Control &amp; TikTok</x:v>
      </x:c>
      <x:c r="H668" t="n">
        <x:v>202601</x:v>
      </x:c>
      <x:c r="I668" t="str">
        <x:v>Complete</x:v>
      </x:c>
      <x:c r="J668" t="str">
        <x:v>Yes</x:v>
      </x:c>
    </x:row>
    <x:row r="669">
      <x:c r="A669" t="str">
        <x:v>2026-02</x:v>
      </x:c>
      <x:c r="B669" t="n">
        <x:v>1</x:v>
      </x:c>
      <x:c r="C669" t="str">
        <x:v>Reminders of Him - Für immer ein Teil von dir</x:v>
      </x:c>
      <x:c r="D669" t="str">
        <x:v>Reminders of Him - Für immer ein Teil von dir</x:v>
      </x:c>
      <x:c r="E669" t="str">
        <x:v>Colleen Hoover</x:v>
      </x:c>
      <x:c r="F669" t="str">
        <x:v>Official #BookTok Top 20</x:v>
      </x:c>
      <x:c r="G669" t="str">
        <x:v>Media Control &amp; TikTok</x:v>
      </x:c>
      <x:c r="H669" t="n">
        <x:v>202602</x:v>
      </x:c>
      <x:c r="I669" t="str">
        <x:v>Complete</x:v>
      </x:c>
      <x:c r="J669" t="str">
        <x:v>Yes</x:v>
      </x:c>
    </x:row>
    <x:row r="670">
      <x:c r="A670" t="str">
        <x:v>2026-02</x:v>
      </x:c>
      <x:c r="B670" t="n">
        <x:v>2</x:v>
      </x:c>
      <x:c r="C670" t="str">
        <x:v>Heated Rivalry</x:v>
      </x:c>
      <x:c r="D670" t="str">
        <x:v>Heated Rivalry</x:v>
      </x:c>
      <x:c r="E670" t="str">
        <x:v>Rachel Reid</x:v>
      </x:c>
      <x:c r="F670" t="str">
        <x:v>Official #BookTok Top 20</x:v>
      </x:c>
      <x:c r="G670" t="str">
        <x:v>Media Control &amp; TikTok</x:v>
      </x:c>
      <x:c r="H670" t="n">
        <x:v>202602</x:v>
      </x:c>
      <x:c r="I670" t="str">
        <x:v>Complete</x:v>
      </x:c>
      <x:c r="J670" t="str">
        <x:v>Yes</x:v>
      </x:c>
    </x:row>
    <x:row r="671">
      <x:c r="A671" t="str">
        <x:v>2026-02</x:v>
      </x:c>
      <x:c r="B671" t="n">
        <x:v>3</x:v>
      </x:c>
      <x:c r="C671" t="str">
        <x:v>Dunbridge Academy - Wherever</x:v>
      </x:c>
      <x:c r="D671" t="str">
        <x:v>Dunbridge Academy - Wherever</x:v>
      </x:c>
      <x:c r="E671" t="str">
        <x:v>Sarah Sprinz</x:v>
      </x:c>
      <x:c r="F671" t="str">
        <x:v>Official #BookTok Top 20</x:v>
      </x:c>
      <x:c r="G671" t="str">
        <x:v>Media Control &amp; TikTok</x:v>
      </x:c>
      <x:c r="H671" t="n">
        <x:v>202602</x:v>
      </x:c>
      <x:c r="I671" t="str">
        <x:v>Complete</x:v>
      </x:c>
      <x:c r="J671" t="str">
        <x:v>Yes</x:v>
      </x:c>
    </x:row>
    <x:row r="672">
      <x:c r="A672" t="str">
        <x:v>2026-02</x:v>
      </x:c>
      <x:c r="B672" t="n">
        <x:v>4</x:v>
      </x:c>
      <x:c r="C672" t="str">
        <x:v>Leave Me Behind</x:v>
      </x:c>
      <x:c r="D672" t="str">
        <x:v>Leave Me Behind</x:v>
      </x:c>
      <x:c r="E672" t="str">
        <x:v>K M Moronova</x:v>
      </x:c>
      <x:c r="F672" t="str">
        <x:v>Official #BookTok Top 20</x:v>
      </x:c>
      <x:c r="G672" t="str">
        <x:v>Media Control &amp; TikTok</x:v>
      </x:c>
      <x:c r="H672" t="n">
        <x:v>202602</x:v>
      </x:c>
      <x:c r="I672" t="str">
        <x:v>Complete</x:v>
      </x:c>
      <x:c r="J672" t="str">
        <x:v>Yes</x:v>
      </x:c>
    </x:row>
    <x:row r="673">
      <x:c r="A673" t="str">
        <x:v>2026-02</x:v>
      </x:c>
      <x:c r="B673" t="n">
        <x:v>5</x:v>
      </x:c>
      <x:c r="C673" t="str">
        <x:v>Ikigai</x:v>
      </x:c>
      <x:c r="D673" t="str">
        <x:v>Ikigai</x:v>
      </x:c>
      <x:c r="E673" t="str">
        <x:v>Ken Mogi</x:v>
      </x:c>
      <x:c r="F673" t="str">
        <x:v>Official #BookTok Top 20</x:v>
      </x:c>
      <x:c r="G673" t="str">
        <x:v>Media Control &amp; TikTok</x:v>
      </x:c>
      <x:c r="H673" t="n">
        <x:v>202602</x:v>
      </x:c>
      <x:c r="I673" t="str">
        <x:v>Complete</x:v>
      </x:c>
      <x:c r="J673" t="str">
        <x:v>Yes</x:v>
      </x:c>
    </x:row>
    <x:row r="674">
      <x:c r="A674" t="str">
        <x:v>2026-02</x:v>
      </x:c>
      <x:c r="B674" t="n">
        <x:v>6</x:v>
      </x:c>
      <x:c r="C674" t="str">
        <x:v>Wehe du gibst auf</x:v>
      </x:c>
      <x:c r="D674" t="str">
        <x:v>Wehe du gibst auf</x:v>
      </x:c>
      <x:c r="E674" t="str">
        <x:v>Clara Lösel</x:v>
      </x:c>
      <x:c r="F674" t="str">
        <x:v>Official #BookTok Top 20</x:v>
      </x:c>
      <x:c r="G674" t="str">
        <x:v>Media Control &amp; TikTok</x:v>
      </x:c>
      <x:c r="H674" t="n">
        <x:v>202602</x:v>
      </x:c>
      <x:c r="I674" t="str">
        <x:v>Complete</x:v>
      </x:c>
      <x:c r="J674" t="str">
        <x:v>Yes</x:v>
      </x:c>
    </x:row>
    <x:row r="675">
      <x:c r="A675" t="str">
        <x:v>2026-02</x:v>
      </x:c>
      <x:c r="B675" t="n">
        <x:v>7</x:v>
      </x:c>
      <x:c r="C675" t="str">
        <x:v>Tell Me with Kisses</x:v>
      </x:c>
      <x:c r="D675" t="str">
        <x:v>Tell Me with Kisses</x:v>
      </x:c>
      <x:c r="E675" t="str">
        <x:v>Mercedes Ron</x:v>
      </x:c>
      <x:c r="F675" t="str">
        <x:v>Official #BookTok Top 20</x:v>
      </x:c>
      <x:c r="G675" t="str">
        <x:v>Media Control &amp; TikTok</x:v>
      </x:c>
      <x:c r="H675" t="n">
        <x:v>202602</x:v>
      </x:c>
      <x:c r="I675" t="str">
        <x:v>Complete</x:v>
      </x:c>
      <x:c r="J675" t="str">
        <x:v>Yes</x:v>
      </x:c>
    </x:row>
    <x:row r="676">
      <x:c r="A676" t="str">
        <x:v>2026-02</x:v>
      </x:c>
      <x:c r="B676" t="n">
        <x:v>8</x:v>
      </x:c>
      <x:c r="C676" t="str">
        <x:v>Lights Out</x:v>
      </x:c>
      <x:c r="D676" t="str">
        <x:v>Lights Out</x:v>
      </x:c>
      <x:c r="E676" t="str">
        <x:v>Navessa Allen</x:v>
      </x:c>
      <x:c r="F676" t="str">
        <x:v>Official #BookTok Top 20</x:v>
      </x:c>
      <x:c r="G676" t="str">
        <x:v>Media Control &amp; TikTok</x:v>
      </x:c>
      <x:c r="H676" t="n">
        <x:v>202602</x:v>
      </x:c>
      <x:c r="I676" t="str">
        <x:v>Complete</x:v>
      </x:c>
      <x:c r="J676" t="str">
        <x:v>Yes</x:v>
      </x:c>
    </x:row>
    <x:row r="677">
      <x:c r="A677" t="str">
        <x:v>2026-02</x:v>
      </x:c>
      <x:c r="B677" t="n">
        <x:v>9</x:v>
      </x:c>
      <x:c r="C677" t="str">
        <x:v>Dire Bound</x:v>
      </x:c>
      <x:c r="D677" t="str">
        <x:v>Dire Bound</x:v>
      </x:c>
      <x:c r="E677" t="str">
        <x:v>Sable Sorensen</x:v>
      </x:c>
      <x:c r="F677" t="str">
        <x:v>Official #BookTok Top 20</x:v>
      </x:c>
      <x:c r="G677" t="str">
        <x:v>Media Control &amp; TikTok</x:v>
      </x:c>
      <x:c r="H677" t="n">
        <x:v>202602</x:v>
      </x:c>
      <x:c r="I677" t="str">
        <x:v>Complete</x:v>
      </x:c>
      <x:c r="J677" t="str">
        <x:v>Yes</x:v>
      </x:c>
    </x:row>
    <x:row r="678">
      <x:c r="A678" t="str">
        <x:v>2026-02</x:v>
      </x:c>
      <x:c r="B678" t="n">
        <x:v>10</x:v>
      </x:c>
      <x:c r="C678" t="str">
        <x:v>Two Can Play - Die spielerische Weiterentwicklung von Liebe</x:v>
      </x:c>
      <x:c r="D678" t="str">
        <x:v>Two Can Play - Die spielerische Weiterentwicklung von Liebe</x:v>
      </x:c>
      <x:c r="E678" t="str">
        <x:v>Ali Hazelwood</x:v>
      </x:c>
      <x:c r="F678" t="str">
        <x:v>Official #BookTok Top 20</x:v>
      </x:c>
      <x:c r="G678" t="str">
        <x:v>Media Control &amp; TikTok</x:v>
      </x:c>
      <x:c r="H678" t="n">
        <x:v>202602</x:v>
      </x:c>
      <x:c r="I678" t="str">
        <x:v>Complete</x:v>
      </x:c>
      <x:c r="J678" t="str">
        <x:v>Yes</x:v>
      </x:c>
    </x:row>
    <x:row r="679">
      <x:c r="A679" t="str">
        <x:v>2026-02</x:v>
      </x:c>
      <x:c r="B679" t="n">
        <x:v>11</x:v>
      </x:c>
      <x:c r="C679" t="str">
        <x:v>Whitestone Hospital - Colliding Hearts</x:v>
      </x:c>
      <x:c r="D679" t="str">
        <x:v>Whitestone Hospital - Colliding Hearts</x:v>
      </x:c>
      <x:c r="E679" t="str">
        <x:v>Ava Reed</x:v>
      </x:c>
      <x:c r="F679" t="str">
        <x:v>Official #BookTok Top 20</x:v>
      </x:c>
      <x:c r="G679" t="str">
        <x:v>Media Control &amp; TikTok</x:v>
      </x:c>
      <x:c r="H679" t="n">
        <x:v>202602</x:v>
      </x:c>
      <x:c r="I679" t="str">
        <x:v>Complete</x:v>
      </x:c>
      <x:c r="J679" t="str">
        <x:v>Yes</x:v>
      </x:c>
    </x:row>
    <x:row r="680">
      <x:c r="A680" t="str">
        <x:v>2026-02</x:v>
      </x:c>
      <x:c r="B680" t="n">
        <x:v>12</x:v>
      </x:c>
      <x:c r="C680" t="str">
        <x:v>Die LET THEM Theorie</x:v>
      </x:c>
      <x:c r="D680" t="str">
        <x:v>Die LET THEM Theorie</x:v>
      </x:c>
      <x:c r="E680" t="str">
        <x:v>Mel Robbins, Sawyer Robbins</x:v>
      </x:c>
      <x:c r="F680" t="str">
        <x:v>Official #BookTok Top 20</x:v>
      </x:c>
      <x:c r="G680" t="str">
        <x:v>Media Control &amp; TikTok</x:v>
      </x:c>
      <x:c r="H680" t="n">
        <x:v>202602</x:v>
      </x:c>
      <x:c r="I680" t="str">
        <x:v>Complete</x:v>
      </x:c>
      <x:c r="J680" t="str">
        <x:v>Yes</x:v>
      </x:c>
    </x:row>
    <x:row r="681">
      <x:c r="A681" t="str">
        <x:v>2026-02</x:v>
      </x:c>
      <x:c r="B681" t="n">
        <x:v>13</x:v>
      </x:c>
      <x:c r="C681" t="str">
        <x:v>The Darlington - Logan &amp; Rose</x:v>
      </x:c>
      <x:c r="D681" t="str">
        <x:v>The Darlington - Logan &amp; Rose</x:v>
      </x:c>
      <x:c r="E681" t="str">
        <x:v>Laura Kneidl</x:v>
      </x:c>
      <x:c r="F681" t="str">
        <x:v>Official #BookTok Top 20</x:v>
      </x:c>
      <x:c r="G681" t="str">
        <x:v>Media Control &amp; TikTok</x:v>
      </x:c>
      <x:c r="H681" t="n">
        <x:v>202602</x:v>
      </x:c>
      <x:c r="I681" t="str">
        <x:v>Complete</x:v>
      </x:c>
      <x:c r="J681" t="str">
        <x:v>Yes</x:v>
      </x:c>
    </x:row>
    <x:row r="682">
      <x:c r="A682" t="str">
        <x:v>2026-02</x:v>
      </x:c>
      <x:c r="B682" t="n">
        <x:v>14</x:v>
      </x:c>
      <x:c r="C682" t="str">
        <x:v>22 Bahnen</x:v>
      </x:c>
      <x:c r="D682" t="str">
        <x:v>22 Bahnen</x:v>
      </x:c>
      <x:c r="E682" t="str">
        <x:v>Caroline Wahl</x:v>
      </x:c>
      <x:c r="F682" t="str">
        <x:v>Official #BookTok Top 20</x:v>
      </x:c>
      <x:c r="G682" t="str">
        <x:v>Media Control &amp; TikTok</x:v>
      </x:c>
      <x:c r="H682" t="n">
        <x:v>202602</x:v>
      </x:c>
      <x:c r="I682" t="str">
        <x:v>Complete</x:v>
      </x:c>
      <x:c r="J682" t="str">
        <x:v>Yes</x:v>
      </x:c>
    </x:row>
    <x:row r="683">
      <x:c r="A683" t="str">
        <x:v>2026-02</x:v>
      </x:c>
      <x:c r="B683" t="n">
        <x:v>15</x:v>
      </x:c>
      <x:c r="C683" t="str">
        <x:v>Abendlicht</x:v>
      </x:c>
      <x:c r="D683" t="str">
        <x:v>Abendlicht</x:v>
      </x:c>
      <x:c r="E683" t="str">
        <x:v>Nora Roberts</x:v>
      </x:c>
      <x:c r="F683" t="str">
        <x:v>Official #BookTok Top 20</x:v>
      </x:c>
      <x:c r="G683" t="str">
        <x:v>Media Control &amp; TikTok</x:v>
      </x:c>
      <x:c r="H683" t="n">
        <x:v>202602</x:v>
      </x:c>
      <x:c r="I683" t="str">
        <x:v>Complete</x:v>
      </x:c>
      <x:c r="J683" t="str">
        <x:v>Yes</x:v>
      </x:c>
    </x:row>
    <x:row r="684">
      <x:c r="A684" t="str">
        <x:v>2026-02</x:v>
      </x:c>
      <x:c r="B684" t="n">
        <x:v>16</x:v>
      </x:c>
      <x:c r="C684" t="str">
        <x:v>Woman Down</x:v>
      </x:c>
      <x:c r="D684" t="str">
        <x:v>Woman Down</x:v>
      </x:c>
      <x:c r="E684" t="str">
        <x:v>Colleen Hoover</x:v>
      </x:c>
      <x:c r="F684" t="str">
        <x:v>Official #BookTok Top 20</x:v>
      </x:c>
      <x:c r="G684" t="str">
        <x:v>Media Control &amp; TikTok</x:v>
      </x:c>
      <x:c r="H684" t="n">
        <x:v>202602</x:v>
      </x:c>
      <x:c r="I684" t="str">
        <x:v>Complete</x:v>
      </x:c>
      <x:c r="J684" t="str">
        <x:v>Yes</x:v>
      </x:c>
    </x:row>
    <x:row r="685">
      <x:c r="A685" t="str">
        <x:v>2026-02</x:v>
      </x:c>
      <x:c r="B685" t="n">
        <x:v>17</x:v>
      </x:c>
      <x:c r="C685" t="str">
        <x:v>Das Camp</x:v>
      </x:c>
      <x:c r="D685" t="str">
        <x:v>Das Camp</x:v>
      </x:c>
      <x:c r="E685" t="str">
        <x:v>Linus Geschke</x:v>
      </x:c>
      <x:c r="F685" t="str">
        <x:v>Official #BookTok Top 20</x:v>
      </x:c>
      <x:c r="G685" t="str">
        <x:v>Media Control &amp; TikTok</x:v>
      </x:c>
      <x:c r="H685" t="n">
        <x:v>202602</x:v>
      </x:c>
      <x:c r="I685" t="str">
        <x:v>Complete</x:v>
      </x:c>
      <x:c r="J685" t="str">
        <x:v>Yes</x:v>
      </x:c>
    </x:row>
    <x:row r="686">
      <x:c r="A686" t="str">
        <x:v>2026-02</x:v>
      </x:c>
      <x:c r="B686" t="n">
        <x:v>18</x:v>
      </x:c>
      <x:c r="C686" t="str">
        <x:v>Windstärke 17</x:v>
      </x:c>
      <x:c r="D686" t="str">
        <x:v>Windstärke 17</x:v>
      </x:c>
      <x:c r="E686" t="str">
        <x:v>Caroline Wahl</x:v>
      </x:c>
      <x:c r="F686" t="str">
        <x:v>Official #BookTok Top 20</x:v>
      </x:c>
      <x:c r="G686" t="str">
        <x:v>Media Control &amp; TikTok</x:v>
      </x:c>
      <x:c r="H686" t="n">
        <x:v>202602</x:v>
      </x:c>
      <x:c r="I686" t="str">
        <x:v>Complete</x:v>
      </x:c>
      <x:c r="J686" t="str">
        <x:v>Yes</x:v>
      </x:c>
    </x:row>
    <x:row r="687">
      <x:c r="A687" t="str">
        <x:v>2026-02</x:v>
      </x:c>
      <x:c r="B687" t="n">
        <x:v>19</x:v>
      </x:c>
      <x:c r="C687" t="str">
        <x:v>Prophezeiungen</x:v>
      </x:c>
      <x:c r="D687" t="str">
        <x:v>Prophezeiungen</x:v>
      </x:c>
      <x:c r="E687" t="str">
        <x:v>Birgit Fischer</x:v>
      </x:c>
      <x:c r="F687" t="str">
        <x:v>Official #BookTok Top 20</x:v>
      </x:c>
      <x:c r="G687" t="str">
        <x:v>Media Control &amp; TikTok</x:v>
      </x:c>
      <x:c r="H687" t="n">
        <x:v>202602</x:v>
      </x:c>
      <x:c r="I687" t="str">
        <x:v>Complete</x:v>
      </x:c>
      <x:c r="J687" t="str">
        <x:v>Yes</x:v>
      </x:c>
    </x:row>
    <x:row r="688">
      <x:c r="A688" t="str">
        <x:v>2026-02</x:v>
      </x:c>
      <x:c r="B688" t="n">
        <x:v>20</x:v>
      </x:c>
      <x:c r="C688" t="str">
        <x:v>Das Mädchen aus Yorkshire</x:v>
      </x:c>
      <x:c r="D688" t="str">
        <x:v>Das Mädchen aus Yorkshire</x:v>
      </x:c>
      <x:c r="E688" t="str">
        <x:v>Lucinda Riley</x:v>
      </x:c>
      <x:c r="F688" t="str">
        <x:v>Official #BookTok Top 20</x:v>
      </x:c>
      <x:c r="G688" t="str">
        <x:v>Media Control &amp; TikTok</x:v>
      </x:c>
      <x:c r="H688" t="n">
        <x:v>202602</x:v>
      </x:c>
      <x:c r="I688" t="str">
        <x:v>Complete</x:v>
      </x:c>
      <x:c r="J688" t="str">
        <x:v>Yes</x:v>
      </x:c>
    </x:row>
    <x:row r="689">
      <x:c r="A689" t="str">
        <x:v>2026-03</x:v>
      </x:c>
      <x:c r="B689" t="n">
        <x:v>1</x:v>
      </x:c>
      <x:c r="C689" t="str">
        <x:v>Reminders of Him - Für immer ein Teil von dir</x:v>
      </x:c>
      <x:c r="D689" t="str">
        <x:v>Reminders of Him - Für immer ein Teil von dir</x:v>
      </x:c>
      <x:c r="E689" t="str">
        <x:v>Colleen Hoover</x:v>
      </x:c>
      <x:c r="F689" t="str">
        <x:v>Official #BookTok Top 20</x:v>
      </x:c>
      <x:c r="G689" t="str">
        <x:v>Media Control &amp; TikTok</x:v>
      </x:c>
      <x:c r="H689" t="n">
        <x:v>202603</x:v>
      </x:c>
      <x:c r="I689" t="str">
        <x:v>Complete</x:v>
      </x:c>
      <x:c r="J689" t="str">
        <x:v>Yes</x:v>
      </x:c>
    </x:row>
    <x:row r="690">
      <x:c r="A690" t="str">
        <x:v>2026-03</x:v>
      </x:c>
      <x:c r="B690" t="n">
        <x:v>2</x:v>
      </x:c>
      <x:c r="C690" t="str">
        <x:v>Heated Rivalry</x:v>
      </x:c>
      <x:c r="D690" t="str">
        <x:v>Heated Rivalry</x:v>
      </x:c>
      <x:c r="E690" t="str">
        <x:v>Rachel Reid</x:v>
      </x:c>
      <x:c r="F690" t="str">
        <x:v>Official #BookTok Top 20</x:v>
      </x:c>
      <x:c r="G690" t="str">
        <x:v>Media Control &amp; TikTok</x:v>
      </x:c>
      <x:c r="H690" t="n">
        <x:v>202603</x:v>
      </x:c>
      <x:c r="I690" t="str">
        <x:v>Complete</x:v>
      </x:c>
      <x:c r="J690" t="str">
        <x:v>Yes</x:v>
      </x:c>
    </x:row>
    <x:row r="691">
      <x:c r="A691" t="str">
        <x:v>2026-03</x:v>
      </x:c>
      <x:c r="B691" t="n">
        <x:v>3</x:v>
      </x:c>
      <x:c r="C691" t="str">
        <x:v>When Shadows Darken the Sun</x:v>
      </x:c>
      <x:c r="D691" t="str">
        <x:v>When Shadows Darken the Sun</x:v>
      </x:c>
      <x:c r="E691" t="str">
        <x:v>Nina Schilling</x:v>
      </x:c>
      <x:c r="F691" t="str">
        <x:v>Official #BookTok Top 20</x:v>
      </x:c>
      <x:c r="G691" t="str">
        <x:v>Media Control &amp; TikTok</x:v>
      </x:c>
      <x:c r="H691" t="n">
        <x:v>202603</x:v>
      </x:c>
      <x:c r="I691" t="str">
        <x:v>Complete</x:v>
      </x:c>
      <x:c r="J691" t="str">
        <x:v>Yes</x:v>
      </x:c>
    </x:row>
    <x:row r="692">
      <x:c r="A692" t="str">
        <x:v>2026-03</x:v>
      </x:c>
      <x:c r="B692" t="n">
        <x:v>4</x:v>
      </x:c>
      <x:c r="C692" t="str">
        <x:v>Ikigai</x:v>
      </x:c>
      <x:c r="D692" t="str">
        <x:v>Ikigai</x:v>
      </x:c>
      <x:c r="E692" t="str">
        <x:v>Ken Mogi</x:v>
      </x:c>
      <x:c r="F692" t="str">
        <x:v>Official #BookTok Top 20</x:v>
      </x:c>
      <x:c r="G692" t="str">
        <x:v>Media Control &amp; TikTok</x:v>
      </x:c>
      <x:c r="H692" t="n">
        <x:v>202603</x:v>
      </x:c>
      <x:c r="I692" t="str">
        <x:v>Complete</x:v>
      </x:c>
      <x:c r="J692" t="str">
        <x:v>Yes</x:v>
      </x:c>
    </x:row>
    <x:row r="693">
      <x:c r="A693" t="str">
        <x:v>2026-03</x:v>
      </x:c>
      <x:c r="B693" t="n">
        <x:v>5</x:v>
      </x:c>
      <x:c r="C693" t="str">
        <x:v>In Her Own League</x:v>
      </x:c>
      <x:c r="D693" t="str">
        <x:v>In Her Own League</x:v>
      </x:c>
      <x:c r="E693" t="str">
        <x:v>Liz Tomforde</x:v>
      </x:c>
      <x:c r="F693" t="str">
        <x:v>Official #BookTok Top 20</x:v>
      </x:c>
      <x:c r="G693" t="str">
        <x:v>Media Control &amp; TikTok</x:v>
      </x:c>
      <x:c r="H693" t="n">
        <x:v>202603</x:v>
      </x:c>
      <x:c r="I693" t="str">
        <x:v>Complete</x:v>
      </x:c>
      <x:c r="J693" t="str">
        <x:v>Yes</x:v>
      </x:c>
    </x:row>
    <x:row r="694">
      <x:c r="A694" t="str">
        <x:v>2026-03</x:v>
      </x:c>
      <x:c r="B694" t="n">
        <x:v>6</x:v>
      </x:c>
      <x:c r="C694" t="str">
        <x:v>Leave Me Behind</x:v>
      </x:c>
      <x:c r="D694" t="str">
        <x:v>Leave Me Behind</x:v>
      </x:c>
      <x:c r="E694" t="str">
        <x:v>K M Moronova</x:v>
      </x:c>
      <x:c r="F694" t="str">
        <x:v>Official #BookTok Top 20</x:v>
      </x:c>
      <x:c r="G694" t="str">
        <x:v>Media Control &amp; TikTok</x:v>
      </x:c>
      <x:c r="H694" t="n">
        <x:v>202603</x:v>
      </x:c>
      <x:c r="I694" t="str">
        <x:v>Complete</x:v>
      </x:c>
      <x:c r="J694" t="str">
        <x:v>Yes</x:v>
      </x:c>
    </x:row>
    <x:row r="695">
      <x:c r="A695" t="str">
        <x:v>2026-03</x:v>
      </x:c>
      <x:c r="B695" t="n">
        <x:v>7</x:v>
      </x:c>
      <x:c r="C695" t="str">
        <x:v>Villains Are Made (1). Der Fluch der Medusa</x:v>
      </x:c>
      <x:c r="D695" t="str">
        <x:v>Villains Are Made (1). Der Fluch der Medusa</x:v>
      </x:c>
      <x:c r="E695" t="str">
        <x:v>Julia Holz</x:v>
      </x:c>
      <x:c r="F695" t="str">
        <x:v>Official #BookTok Top 20</x:v>
      </x:c>
      <x:c r="G695" t="str">
        <x:v>Media Control &amp; TikTok</x:v>
      </x:c>
      <x:c r="H695" t="n">
        <x:v>202603</x:v>
      </x:c>
      <x:c r="I695" t="str">
        <x:v>Complete</x:v>
      </x:c>
      <x:c r="J695" t="str">
        <x:v>Yes</x:v>
      </x:c>
    </x:row>
    <x:row r="696">
      <x:c r="A696" t="str">
        <x:v>2026-03</x:v>
      </x:c>
      <x:c r="B696" t="n">
        <x:v>8</x:v>
      </x:c>
      <x:c r="C696" t="str">
        <x:v>Love is like a Thunderbolt</x:v>
      </x:c>
      <x:c r="D696" t="str">
        <x:v>Love is like a Thunderbolt</x:v>
      </x:c>
      <x:c r="E696" t="str">
        <x:v>Ronja Madeleine</x:v>
      </x:c>
      <x:c r="F696" t="str">
        <x:v>Official #BookTok Top 20</x:v>
      </x:c>
      <x:c r="G696" t="str">
        <x:v>Media Control &amp; TikTok</x:v>
      </x:c>
      <x:c r="H696" t="n">
        <x:v>202603</x:v>
      </x:c>
      <x:c r="I696" t="str">
        <x:v>Complete</x:v>
      </x:c>
      <x:c r="J696" t="str">
        <x:v>Yes</x:v>
      </x:c>
    </x:row>
    <x:row r="697">
      <x:c r="A697" t="str">
        <x:v>2026-03</x:v>
      </x:c>
      <x:c r="B697" t="n">
        <x:v>9</x:v>
      </x:c>
      <x:c r="C697" t="str">
        <x:v>The Darlington - Logan &amp; Rose</x:v>
      </x:c>
      <x:c r="D697" t="str">
        <x:v>The Darlington - Logan &amp; Rose</x:v>
      </x:c>
      <x:c r="E697" t="str">
        <x:v>Laura Kneidl</x:v>
      </x:c>
      <x:c r="F697" t="str">
        <x:v>Official #BookTok Top 20</x:v>
      </x:c>
      <x:c r="G697" t="str">
        <x:v>Media Control &amp; TikTok</x:v>
      </x:c>
      <x:c r="H697" t="n">
        <x:v>202603</x:v>
      </x:c>
      <x:c r="I697" t="str">
        <x:v>Complete</x:v>
      </x:c>
      <x:c r="J697" t="str">
        <x:v>Yes</x:v>
      </x:c>
    </x:row>
    <x:row r="698">
      <x:c r="A698" t="str">
        <x:v>2026-03</x:v>
      </x:c>
      <x:c r="B698" t="n">
        <x:v>10</x:v>
      </x:c>
      <x:c r="C698" t="str">
        <x:v>»Mama, bitte lern Deutsch«</x:v>
      </x:c>
      <x:c r="D698" t="str">
        <x:v>»Mama, bitte lern Deutsch«</x:v>
      </x:c>
      <x:c r="E698" t="str">
        <x:v>Tahsim Durgun</x:v>
      </x:c>
      <x:c r="F698" t="str">
        <x:v>Official #BookTok Top 20</x:v>
      </x:c>
      <x:c r="G698" t="str">
        <x:v>Media Control &amp; TikTok</x:v>
      </x:c>
      <x:c r="H698" t="n">
        <x:v>202603</x:v>
      </x:c>
      <x:c r="I698" t="str">
        <x:v>Complete</x:v>
      </x:c>
      <x:c r="J698" t="str">
        <x:v>Yes</x:v>
      </x:c>
    </x:row>
    <x:row r="699">
      <x:c r="A699" t="str">
        <x:v>2026-03</x:v>
      </x:c>
      <x:c r="B699" t="n">
        <x:v>11</x:v>
      </x:c>
      <x:c r="C699" t="str">
        <x:v>Dunbridge Academy - Wherever</x:v>
      </x:c>
      <x:c r="D699" t="str">
        <x:v>Dunbridge Academy - Wherever</x:v>
      </x:c>
      <x:c r="E699" t="str">
        <x:v>Sarah Sprinz</x:v>
      </x:c>
      <x:c r="F699" t="str">
        <x:v>Official #BookTok Top 20</x:v>
      </x:c>
      <x:c r="G699" t="str">
        <x:v>Media Control &amp; TikTok</x:v>
      </x:c>
      <x:c r="H699" t="n">
        <x:v>202603</x:v>
      </x:c>
      <x:c r="I699" t="str">
        <x:v>Complete</x:v>
      </x:c>
      <x:c r="J699" t="str">
        <x:v>Yes</x:v>
      </x:c>
    </x:row>
    <x:row r="700">
      <x:c r="A700" t="str">
        <x:v>2026-03</x:v>
      </x:c>
      <x:c r="B700" t="n">
        <x:v>12</x:v>
      </x:c>
      <x:c r="C700" t="str">
        <x:v>Frankie</x:v>
      </x:c>
      <x:c r="D700" t="str">
        <x:v>Frankie</x:v>
      </x:c>
      <x:c r="E700" t="str">
        <x:v>Jochen Gutsch, Maxim Leo</x:v>
      </x:c>
      <x:c r="F700" t="str">
        <x:v>Official #BookTok Top 20</x:v>
      </x:c>
      <x:c r="G700" t="str">
        <x:v>Media Control &amp; TikTok</x:v>
      </x:c>
      <x:c r="H700" t="n">
        <x:v>202603</x:v>
      </x:c>
      <x:c r="I700" t="str">
        <x:v>Complete</x:v>
      </x:c>
      <x:c r="J700" t="str">
        <x:v>Yes</x:v>
      </x:c>
    </x:row>
    <x:row r="701">
      <x:c r="A701" t="str">
        <x:v>2026-03</x:v>
      </x:c>
      <x:c r="B701" t="n">
        <x:v>13</x:v>
      </x:c>
      <x:c r="C701" t="str">
        <x:v>Dire Bound</x:v>
      </x:c>
      <x:c r="D701" t="str">
        <x:v>Dire Bound</x:v>
      </x:c>
      <x:c r="E701" t="str">
        <x:v>Sable Sorensen</x:v>
      </x:c>
      <x:c r="F701" t="str">
        <x:v>Official #BookTok Top 20</x:v>
      </x:c>
      <x:c r="G701" t="str">
        <x:v>Media Control &amp; TikTok</x:v>
      </x:c>
      <x:c r="H701" t="n">
        <x:v>202603</x:v>
      </x:c>
      <x:c r="I701" t="str">
        <x:v>Complete</x:v>
      </x:c>
      <x:c r="J701" t="str">
        <x:v>Yes</x:v>
      </x:c>
    </x:row>
    <x:row r="702">
      <x:c r="A702" t="str">
        <x:v>2026-03</x:v>
      </x:c>
      <x:c r="B702" t="n">
        <x:v>14</x:v>
      </x:c>
      <x:c r="C702" t="str">
        <x:v>Moorland. Die Zwillinge</x:v>
      </x:c>
      <x:c r="D702" t="str">
        <x:v>Moorland. Die Zwillinge</x:v>
      </x:c>
      <x:c r="E702" t="str">
        <x:v>Andreas Winkelmann</x:v>
      </x:c>
      <x:c r="F702" t="str">
        <x:v>Official #BookTok Top 20</x:v>
      </x:c>
      <x:c r="G702" t="str">
        <x:v>Media Control &amp; TikTok</x:v>
      </x:c>
      <x:c r="H702" t="n">
        <x:v>202603</x:v>
      </x:c>
      <x:c r="I702" t="str">
        <x:v>Complete</x:v>
      </x:c>
      <x:c r="J702" t="str">
        <x:v>Yes</x:v>
      </x:c>
    </x:row>
    <x:row r="703">
      <x:c r="A703" t="str">
        <x:v>2026-03</x:v>
      </x:c>
      <x:c r="B703" t="n">
        <x:v>15</x:v>
      </x:c>
      <x:c r="C703" t="str">
        <x:v>22 Bahnen</x:v>
      </x:c>
      <x:c r="D703" t="str">
        <x:v>22 Bahnen</x:v>
      </x:c>
      <x:c r="E703" t="str">
        <x:v>Caroline Wahl</x:v>
      </x:c>
      <x:c r="F703" t="str">
        <x:v>Official #BookTok Top 20</x:v>
      </x:c>
      <x:c r="G703" t="str">
        <x:v>Media Control &amp; TikTok</x:v>
      </x:c>
      <x:c r="H703" t="n">
        <x:v>202603</x:v>
      </x:c>
      <x:c r="I703" t="str">
        <x:v>Complete</x:v>
      </x:c>
      <x:c r="J703" t="str">
        <x:v>Yes</x:v>
      </x:c>
    </x:row>
    <x:row r="704">
      <x:c r="A704" t="str">
        <x:v>2026-03</x:v>
      </x:c>
      <x:c r="B704" t="n">
        <x:v>16</x:v>
      </x:c>
      <x:c r="C704" t="str">
        <x:v>Frankie - Unter Menschen</x:v>
      </x:c>
      <x:c r="D704" t="str">
        <x:v>Frankie - Unter Menschen</x:v>
      </x:c>
      <x:c r="E704" t="str">
        <x:v>Jochen Gutsch</x:v>
      </x:c>
      <x:c r="F704" t="str">
        <x:v>Official #BookTok Top 20</x:v>
      </x:c>
      <x:c r="G704" t="str">
        <x:v>Media Control &amp; TikTok</x:v>
      </x:c>
      <x:c r="H704" t="n">
        <x:v>202603</x:v>
      </x:c>
      <x:c r="I704" t="str">
        <x:v>Complete</x:v>
      </x:c>
      <x:c r="J704" t="str">
        <x:v>Yes</x:v>
      </x:c>
    </x:row>
    <x:row r="705">
      <x:c r="A705" t="str">
        <x:v>2026-03</x:v>
      </x:c>
      <x:c r="B705" t="n">
        <x:v>17</x:v>
      </x:c>
      <x:c r="C705" t="str">
        <x:v>Die LET THEM Theorie</x:v>
      </x:c>
      <x:c r="D705" t="str">
        <x:v>Die LET THEM Theorie</x:v>
      </x:c>
      <x:c r="E705" t="str">
        <x:v>Mel Robbins, Sawyer Robbins</x:v>
      </x:c>
      <x:c r="F705" t="str">
        <x:v>Official #BookTok Top 20</x:v>
      </x:c>
      <x:c r="G705" t="str">
        <x:v>Media Control &amp; TikTok</x:v>
      </x:c>
      <x:c r="H705" t="n">
        <x:v>202603</x:v>
      </x:c>
      <x:c r="I705" t="str">
        <x:v>Complete</x:v>
      </x:c>
      <x:c r="J705" t="str">
        <x:v>Yes</x:v>
      </x:c>
    </x:row>
    <x:row r="706">
      <x:c r="A706" t="str">
        <x:v>2026-03</x:v>
      </x:c>
      <x:c r="B706" t="n">
        <x:v>18</x:v>
      </x:c>
      <x:c r="C706" t="str">
        <x:v>Das Kind in dir muss Heimat finden</x:v>
      </x:c>
      <x:c r="D706" t="str">
        <x:v>Das Kind in dir muss Heimat finden</x:v>
      </x:c>
      <x:c r="E706" t="str">
        <x:v>Stefanie Stahl</x:v>
      </x:c>
      <x:c r="F706" t="str">
        <x:v>Official #BookTok Top 20</x:v>
      </x:c>
      <x:c r="G706" t="str">
        <x:v>Media Control &amp; TikTok</x:v>
      </x:c>
      <x:c r="H706" t="n">
        <x:v>202603</x:v>
      </x:c>
      <x:c r="I706" t="str">
        <x:v>Complete</x:v>
      </x:c>
      <x:c r="J706" t="str">
        <x:v>Yes</x:v>
      </x:c>
    </x:row>
    <x:row r="707">
      <x:c r="A707" t="str">
        <x:v>2026-03</x:v>
      </x:c>
      <x:c r="B707" t="n">
        <x:v>19</x:v>
      </x:c>
      <x:c r="C707" t="str">
        <x:v>Monas Augen - Eine Reise zu den schönsten Kunstwerken unserer Zeit</x:v>
      </x:c>
      <x:c r="D707" t="str">
        <x:v>Monas Augen - Eine Reise zu den schönsten Kunstwerken unserer Zeit</x:v>
      </x:c>
      <x:c r="E707" t="str">
        <x:v>Thomas Schlesser</x:v>
      </x:c>
      <x:c r="F707" t="str">
        <x:v>Official #BookTok Top 20</x:v>
      </x:c>
      <x:c r="G707" t="str">
        <x:v>Media Control &amp; TikTok</x:v>
      </x:c>
      <x:c r="H707" t="n">
        <x:v>202603</x:v>
      </x:c>
      <x:c r="I707" t="str">
        <x:v>Complete</x:v>
      </x:c>
      <x:c r="J707" t="str">
        <x:v>Yes</x:v>
      </x:c>
    </x:row>
    <x:row r="708">
      <x:c r="A708" t="str">
        <x:v>2026-03</x:v>
      </x:c>
      <x:c r="B708" t="n">
        <x:v>20</x:v>
      </x:c>
      <x:c r="C708" t="str">
        <x:v>Wie kann sie nur?</x:v>
      </x:c>
      <x:c r="D708" t="str">
        <x:v>Wie kann sie nur?</x:v>
      </x:c>
      <x:c r="E708" t="str">
        <x:v>Sophie Passmann</x:v>
      </x:c>
      <x:c r="F708" t="str">
        <x:v>Official #BookTok Top 20</x:v>
      </x:c>
      <x:c r="G708" t="str">
        <x:v>Media Control &amp; TikTok</x:v>
      </x:c>
      <x:c r="H708" t="n">
        <x:v>202603</x:v>
      </x:c>
      <x:c r="I708" t="str">
        <x:v>Complete</x:v>
      </x:c>
      <x:c r="J708" t="str">
        <x:v>Yes</x:v>
      </x:c>
    </x:row>
    <x:row r="709">
      <x:c r="A709" t="str">
        <x:v>2026-04</x:v>
      </x:c>
      <x:c r="B709" t="n">
        <x:v>1</x:v>
      </x:c>
      <x:c r="C709" t="str">
        <x:v>Heated Rivalry</x:v>
      </x:c>
      <x:c r="D709" t="str">
        <x:v>Heated Rivalry</x:v>
      </x:c>
      <x:c r="E709" t="str">
        <x:v>Rachel Reid</x:v>
      </x:c>
      <x:c r="F709" t="str">
        <x:v>Official #BookTok Top 20</x:v>
      </x:c>
      <x:c r="G709" t="str">
        <x:v>Media Control &amp; TikTok</x:v>
      </x:c>
      <x:c r="H709" t="n">
        <x:v>202604</x:v>
      </x:c>
      <x:c r="I709" t="str">
        <x:v>Complete</x:v>
      </x:c>
      <x:c r="J709" t="str">
        <x:v>Yes</x:v>
      </x:c>
    </x:row>
    <x:row r="710">
      <x:c r="A710" t="str">
        <x:v>2026-04</x:v>
      </x:c>
      <x:c r="B710" t="n">
        <x:v>2</x:v>
      </x:c>
      <x:c r="C710" t="str">
        <x:v>Reminders of Him - Für immer ein Teil von dir</x:v>
      </x:c>
      <x:c r="D710" t="str">
        <x:v>Reminders of Him - Für immer ein Teil von dir</x:v>
      </x:c>
      <x:c r="E710" t="str">
        <x:v>Colleen Hoover</x:v>
      </x:c>
      <x:c r="F710" t="str">
        <x:v>Official #BookTok Top 20</x:v>
      </x:c>
      <x:c r="G710" t="str">
        <x:v>Media Control &amp; TikTok</x:v>
      </x:c>
      <x:c r="H710" t="n">
        <x:v>202604</x:v>
      </x:c>
      <x:c r="I710" t="str">
        <x:v>Complete</x:v>
      </x:c>
      <x:c r="J710" t="str">
        <x:v>Yes</x:v>
      </x:c>
    </x:row>
    <x:row r="711">
      <x:c r="A711" t="str">
        <x:v>2026-04</x:v>
      </x:c>
      <x:c r="B711" t="n">
        <x:v>3</x:v>
      </x:c>
      <x:c r="C711" t="str">
        <x:v>Release Me</x:v>
      </x:c>
      <x:c r="D711" t="str">
        <x:v>Release Me</x:v>
      </x:c>
      <x:c r="E711" t="str">
        <x:v>Tahereh Mafi</x:v>
      </x:c>
      <x:c r="F711" t="str">
        <x:v>Official #BookTok Top 20</x:v>
      </x:c>
      <x:c r="G711" t="str">
        <x:v>Media Control &amp; TikTok</x:v>
      </x:c>
      <x:c r="H711" t="n">
        <x:v>202604</x:v>
      </x:c>
      <x:c r="I711" t="str">
        <x:v>Complete</x:v>
      </x:c>
      <x:c r="J711" t="str">
        <x:v>Yes</x:v>
      </x:c>
    </x:row>
    <x:row r="712">
      <x:c r="A712" t="str">
        <x:v>2026-04</x:v>
      </x:c>
      <x:c r="B712" t="n">
        <x:v>4</x:v>
      </x:c>
      <x:c r="C712" t="str">
        <x:v>King of Gluttony</x:v>
      </x:c>
      <x:c r="D712" t="str">
        <x:v>King of Gluttony</x:v>
      </x:c>
      <x:c r="E712" t="str">
        <x:v>Ana Huang</x:v>
      </x:c>
      <x:c r="F712" t="str">
        <x:v>Official #BookTok Top 20</x:v>
      </x:c>
      <x:c r="G712" t="str">
        <x:v>Media Control &amp; TikTok</x:v>
      </x:c>
      <x:c r="H712" t="n">
        <x:v>202604</x:v>
      </x:c>
      <x:c r="I712" t="str">
        <x:v>Complete</x:v>
      </x:c>
      <x:c r="J712" t="str">
        <x:v>Yes</x:v>
      </x:c>
    </x:row>
    <x:row r="713">
      <x:c r="A713" t="str">
        <x:v>2026-04</x:v>
      </x:c>
      <x:c r="B713" t="n">
        <x:v>5</x:v>
      </x:c>
      <x:c r="C713" t="str">
        <x:v>Ikigai</x:v>
      </x:c>
      <x:c r="D713" t="str">
        <x:v>Ikigai</x:v>
      </x:c>
      <x:c r="E713" t="str">
        <x:v>Ken Mogi</x:v>
      </x:c>
      <x:c r="F713" t="str">
        <x:v>Official #BookTok Top 20</x:v>
      </x:c>
      <x:c r="G713" t="str">
        <x:v>Media Control &amp; TikTok</x:v>
      </x:c>
      <x:c r="H713" t="n">
        <x:v>202604</x:v>
      </x:c>
      <x:c r="I713" t="str">
        <x:v>Complete</x:v>
      </x:c>
      <x:c r="J713" t="str">
        <x:v>Yes</x:v>
      </x:c>
    </x:row>
    <x:row r="714">
      <x:c r="A714" t="str">
        <x:v>2026-04</x:v>
      </x:c>
      <x:c r="B714" t="n">
        <x:v>6</x:v>
      </x:c>
      <x:c r="C714" t="str">
        <x:v>In Her Own League</x:v>
      </x:c>
      <x:c r="D714" t="str">
        <x:v>In Her Own League</x:v>
      </x:c>
      <x:c r="E714" t="str">
        <x:v>Liz Tomforde</x:v>
      </x:c>
      <x:c r="F714" t="str">
        <x:v>Official #BookTok Top 20</x:v>
      </x:c>
      <x:c r="G714" t="str">
        <x:v>Media Control &amp; TikTok</x:v>
      </x:c>
      <x:c r="H714" t="n">
        <x:v>202604</x:v>
      </x:c>
      <x:c r="I714" t="str">
        <x:v>Complete</x:v>
      </x:c>
      <x:c r="J714" t="str">
        <x:v>Yes</x:v>
      </x:c>
    </x:row>
    <x:row r="715">
      <x:c r="A715" t="str">
        <x:v>2026-04</x:v>
      </x:c>
      <x:c r="B715" t="n">
        <x:v>7</x:v>
      </x:c>
      <x:c r="C715" t="str">
        <x:v>Colliding Hopes (Driven Dreams-Dilogie)</x:v>
      </x:c>
      <x:c r="D715" t="str">
        <x:v>Colliding Hopes (Driven Dreams-Dilogie)</x:v>
      </x:c>
      <x:c r="E715" t="str">
        <x:v>Carolin Wahl</x:v>
      </x:c>
      <x:c r="F715" t="str">
        <x:v>Official #BookTok Top 20</x:v>
      </x:c>
      <x:c r="G715" t="str">
        <x:v>Media Control &amp; TikTok</x:v>
      </x:c>
      <x:c r="H715" t="n">
        <x:v>202604</x:v>
      </x:c>
      <x:c r="I715" t="str">
        <x:v>Complete</x:v>
      </x:c>
      <x:c r="J715" t="str">
        <x:v>Yes</x:v>
      </x:c>
    </x:row>
    <x:row r="716">
      <x:c r="A716" t="str">
        <x:v>2026-04</x:v>
      </x:c>
      <x:c r="B716" t="n">
        <x:v>8</x:v>
      </x:c>
      <x:c r="C716" t="str">
        <x:v>Frankie</x:v>
      </x:c>
      <x:c r="D716" t="str">
        <x:v>Frankie</x:v>
      </x:c>
      <x:c r="E716" t="str">
        <x:v>Jochen Gutsch, Maxim Leo</x:v>
      </x:c>
      <x:c r="F716" t="str">
        <x:v>Official #BookTok Top 20</x:v>
      </x:c>
      <x:c r="G716" t="str">
        <x:v>Media Control &amp; TikTok</x:v>
      </x:c>
      <x:c r="H716" t="n">
        <x:v>202604</x:v>
      </x:c>
      <x:c r="I716" t="str">
        <x:v>Complete</x:v>
      </x:c>
      <x:c r="J716" t="str">
        <x:v>Yes</x:v>
      </x:c>
    </x:row>
    <x:row r="717">
      <x:c r="A717" t="str">
        <x:v>2026-04</x:v>
      </x:c>
      <x:c r="B717" t="n">
        <x:v>9</x:v>
      </x:c>
      <x:c r="C717" t="str">
        <x:v>Love is like a Thunderbolt</x:v>
      </x:c>
      <x:c r="D717" t="str">
        <x:v>Love is like a Thunderbolt</x:v>
      </x:c>
      <x:c r="E717" t="str">
        <x:v>Ronja Madeleine</x:v>
      </x:c>
      <x:c r="F717" t="str">
        <x:v>Official #BookTok Top 20</x:v>
      </x:c>
      <x:c r="G717" t="str">
        <x:v>Media Control &amp; TikTok</x:v>
      </x:c>
      <x:c r="H717" t="n">
        <x:v>202604</x:v>
      </x:c>
      <x:c r="I717" t="str">
        <x:v>Complete</x:v>
      </x:c>
      <x:c r="J717" t="str">
        <x:v>Yes</x:v>
      </x:c>
    </x:row>
    <x:row r="718">
      <x:c r="A718" t="str">
        <x:v>2026-04</x:v>
      </x:c>
      <x:c r="B718" t="n">
        <x:v>10</x:v>
      </x:c>
      <x:c r="C718" t="str">
        <x:v>Royal Fake</x:v>
      </x:c>
      <x:c r="D718" t="str">
        <x:v>Royal Fake</x:v>
      </x:c>
      <x:c r="E718" t="str">
        <x:v>Lena Kiefer</x:v>
      </x:c>
      <x:c r="F718" t="str">
        <x:v>Official #BookTok Top 20</x:v>
      </x:c>
      <x:c r="G718" t="str">
        <x:v>Media Control &amp; TikTok</x:v>
      </x:c>
      <x:c r="H718" t="n">
        <x:v>202604</x:v>
      </x:c>
      <x:c r="I718" t="str">
        <x:v>Complete</x:v>
      </x:c>
      <x:c r="J718" t="str">
        <x:v>Yes</x:v>
      </x:c>
    </x:row>
    <x:row r="719">
      <x:c r="A719" t="str">
        <x:v>2026-04</x:v>
      </x:c>
      <x:c r="B719" t="n">
        <x:v>11</x:v>
      </x:c>
      <x:c r="C719" t="str">
        <x:v>Lights Out</x:v>
      </x:c>
      <x:c r="D719" t="str">
        <x:v>Lights Out</x:v>
      </x:c>
      <x:c r="E719" t="str">
        <x:v>Navessa Allen</x:v>
      </x:c>
      <x:c r="F719" t="str">
        <x:v>Official #BookTok Top 20</x:v>
      </x:c>
      <x:c r="G719" t="str">
        <x:v>Media Control &amp; TikTok</x:v>
      </x:c>
      <x:c r="H719" t="n">
        <x:v>202604</x:v>
      </x:c>
      <x:c r="I719" t="str">
        <x:v>Complete</x:v>
      </x:c>
      <x:c r="J719" t="str">
        <x:v>Yes</x:v>
      </x:c>
    </x:row>
    <x:row r="720">
      <x:c r="A720" t="str">
        <x:v>2026-04</x:v>
      </x:c>
      <x:c r="B720" t="n">
        <x:v>12</x:v>
      </x:c>
      <x:c r="C720" t="str">
        <x:v>Leave Me Behind</x:v>
      </x:c>
      <x:c r="D720" t="str">
        <x:v>Leave Me Behind</x:v>
      </x:c>
      <x:c r="E720" t="str">
        <x:v>K M Moronova</x:v>
      </x:c>
      <x:c r="F720" t="str">
        <x:v>Official #BookTok Top 20</x:v>
      </x:c>
      <x:c r="G720" t="str">
        <x:v>Media Control &amp; TikTok</x:v>
      </x:c>
      <x:c r="H720" t="n">
        <x:v>202604</x:v>
      </x:c>
      <x:c r="I720" t="str">
        <x:v>Complete</x:v>
      </x:c>
      <x:c r="J720" t="str">
        <x:v>Yes</x:v>
      </x:c>
    </x:row>
    <x:row r="721">
      <x:c r="A721" t="str">
        <x:v>2026-04</x:v>
      </x:c>
      <x:c r="B721" t="n">
        <x:v>13</x:v>
      </x:c>
      <x:c r="C721" t="str">
        <x:v>Dire Bound</x:v>
      </x:c>
      <x:c r="D721" t="str">
        <x:v>Dire Bound</x:v>
      </x:c>
      <x:c r="E721" t="str">
        <x:v>Sable Sorensen</x:v>
      </x:c>
      <x:c r="F721" t="str">
        <x:v>Official #BookTok Top 20</x:v>
      </x:c>
      <x:c r="G721" t="str">
        <x:v>Media Control &amp; TikTok</x:v>
      </x:c>
      <x:c r="H721" t="n">
        <x:v>202604</x:v>
      </x:c>
      <x:c r="I721" t="str">
        <x:v>Complete</x:v>
      </x:c>
      <x:c r="J721" t="str">
        <x:v>Yes</x:v>
      </x:c>
    </x:row>
    <x:row r="722">
      <x:c r="A722" t="str">
        <x:v>2026-04</x:v>
      </x:c>
      <x:c r="B722" t="n">
        <x:v>14</x:v>
      </x:c>
      <x:c r="C722" t="str">
        <x:v>Moorland. Die Zwillinge</x:v>
      </x:c>
      <x:c r="D722" t="str">
        <x:v>Moorland. Die Zwillinge</x:v>
      </x:c>
      <x:c r="E722" t="str">
        <x:v>Andreas Winkelmann</x:v>
      </x:c>
      <x:c r="F722" t="str">
        <x:v>Official #BookTok Top 20</x:v>
      </x:c>
      <x:c r="G722" t="str">
        <x:v>Media Control &amp; TikTok</x:v>
      </x:c>
      <x:c r="H722" t="n">
        <x:v>202604</x:v>
      </x:c>
      <x:c r="I722" t="str">
        <x:v>Complete</x:v>
      </x:c>
      <x:c r="J722" t="str">
        <x:v>Yes</x:v>
      </x:c>
    </x:row>
    <x:row r="723">
      <x:c r="A723" t="str">
        <x:v>2026-04</x:v>
      </x:c>
      <x:c r="B723" t="n">
        <x:v>15</x:v>
      </x:c>
      <x:c r="C723" t="str">
        <x:v>»Mama, bitte lern Deutsch«</x:v>
      </x:c>
      <x:c r="D723" t="str">
        <x:v>»Mama, bitte lern Deutsch«</x:v>
      </x:c>
      <x:c r="E723" t="str">
        <x:v>Tahsim Durgun</x:v>
      </x:c>
      <x:c r="F723" t="str">
        <x:v>Official #BookTok Top 20</x:v>
      </x:c>
      <x:c r="G723" t="str">
        <x:v>Media Control &amp; TikTok</x:v>
      </x:c>
      <x:c r="H723" t="n">
        <x:v>202604</x:v>
      </x:c>
      <x:c r="I723" t="str">
        <x:v>Complete</x:v>
      </x:c>
      <x:c r="J723" t="str">
        <x:v>Yes</x:v>
      </x:c>
    </x:row>
    <x:row r="724">
      <x:c r="A724" t="str">
        <x:v>2026-04</x:v>
      </x:c>
      <x:c r="B724" t="n">
        <x:v>16</x:v>
      </x:c>
      <x:c r="C724" t="str">
        <x:v>22 Bahnen</x:v>
      </x:c>
      <x:c r="D724" t="str">
        <x:v>22 Bahnen</x:v>
      </x:c>
      <x:c r="E724" t="str">
        <x:v>Caroline Wahl</x:v>
      </x:c>
      <x:c r="F724" t="str">
        <x:v>Official #BookTok Top 20</x:v>
      </x:c>
      <x:c r="G724" t="str">
        <x:v>Media Control &amp; TikTok</x:v>
      </x:c>
      <x:c r="H724" t="n">
        <x:v>202604</x:v>
      </x:c>
      <x:c r="I724" t="str">
        <x:v>Complete</x:v>
      </x:c>
      <x:c r="J724" t="str">
        <x:v>Yes</x:v>
      </x:c>
    </x:row>
    <x:row r="725">
      <x:c r="A725" t="str">
        <x:v>2026-04</x:v>
      </x:c>
      <x:c r="B725" t="n">
        <x:v>17</x:v>
      </x:c>
      <x:c r="C725" t="str">
        <x:v>Die LET THEM Theorie</x:v>
      </x:c>
      <x:c r="D725" t="str">
        <x:v>Die LET THEM Theorie</x:v>
      </x:c>
      <x:c r="E725" t="str">
        <x:v>Mel Robbins, Sawyer Robbins</x:v>
      </x:c>
      <x:c r="F725" t="str">
        <x:v>Official #BookTok Top 20</x:v>
      </x:c>
      <x:c r="G725" t="str">
        <x:v>Media Control &amp; TikTok</x:v>
      </x:c>
      <x:c r="H725" t="n">
        <x:v>202604</x:v>
      </x:c>
      <x:c r="I725" t="str">
        <x:v>Complete</x:v>
      </x:c>
      <x:c r="J725" t="str">
        <x:v>Yes</x:v>
      </x:c>
    </x:row>
    <x:row r="726">
      <x:c r="A726" t="str">
        <x:v>2026-04</x:v>
      </x:c>
      <x:c r="B726" t="n">
        <x:v>18</x:v>
      </x:c>
      <x:c r="C726" t="str">
        <x:v>Heart of My Monster (Monsters Trilogy)</x:v>
      </x:c>
      <x:c r="D726" t="str">
        <x:v>Heart of My Monster (Monsters Trilogy)</x:v>
      </x:c>
      <x:c r="E726" t="str">
        <x:v>Rina Kent</x:v>
      </x:c>
      <x:c r="F726" t="str">
        <x:v>Official #BookTok Top 20</x:v>
      </x:c>
      <x:c r="G726" t="str">
        <x:v>Media Control &amp; TikTok</x:v>
      </x:c>
      <x:c r="H726" t="n">
        <x:v>202604</x:v>
      </x:c>
      <x:c r="I726" t="str">
        <x:v>Complete</x:v>
      </x:c>
      <x:c r="J726" t="str">
        <x:v>Yes</x:v>
      </x:c>
    </x:row>
    <x:row r="727">
      <x:c r="A727" t="str">
        <x:v>2026-04</x:v>
      </x:c>
      <x:c r="B727" t="n">
        <x:v>19</x:v>
      </x:c>
      <x:c r="C727" t="str">
        <x:v>Monas Augen - Eine Reise zu den schönsten Kunstwerken unserer Zeit</x:v>
      </x:c>
      <x:c r="D727" t="str">
        <x:v>Monas Augen - Eine Reise zu den schönsten Kunstwerken unserer Zeit</x:v>
      </x:c>
      <x:c r="E727" t="str">
        <x:v>Thomas Schlesser</x:v>
      </x:c>
      <x:c r="F727" t="str">
        <x:v>Official #BookTok Top 20</x:v>
      </x:c>
      <x:c r="G727" t="str">
        <x:v>Media Control &amp; TikTok</x:v>
      </x:c>
      <x:c r="H727" t="n">
        <x:v>202604</x:v>
      </x:c>
      <x:c r="I727" t="str">
        <x:v>Complete</x:v>
      </x:c>
      <x:c r="J727" t="str">
        <x:v>Yes</x:v>
      </x:c>
    </x:row>
    <x:row r="728">
      <x:c r="A728" t="str">
        <x:v>2026-04</x:v>
      </x:c>
      <x:c r="B728" t="n">
        <x:v>20</x:v>
      </x:c>
      <x:c r="C728" t="str">
        <x:v>When Shadows Darken the Sun</x:v>
      </x:c>
      <x:c r="D728" t="str">
        <x:v>When Shadows Darken the Sun</x:v>
      </x:c>
      <x:c r="E728" t="str">
        <x:v>Nina Schilling</x:v>
      </x:c>
      <x:c r="F728" t="str">
        <x:v>Official #BookTok Top 20</x:v>
      </x:c>
      <x:c r="G728" t="str">
        <x:v>Media Control &amp; TikTok</x:v>
      </x:c>
      <x:c r="H728" t="n">
        <x:v>202604</x:v>
      </x:c>
      <x:c r="I728" t="str">
        <x:v>Complete</x:v>
      </x:c>
      <x:c r="J728" t="str">
        <x:v>Yes</x:v>
      </x:c>
    </x:row>
    <x:row r="729">
      <x:c r="A729" t="str">
        <x:v>2026-05</x:v>
      </x:c>
      <x:c r="B729" t="n">
        <x:v>1</x:v>
      </x:c>
      <x:c r="C729" t="str">
        <x:v>22 Bahnen</x:v>
      </x:c>
      <x:c r="D729" t="str">
        <x:v>22 Bahnen</x:v>
      </x:c>
      <x:c r="E729" t="str">
        <x:v>Caroline Wahl</x:v>
      </x:c>
      <x:c r="F729" t="str">
        <x:v>Official #BookTok Top 20</x:v>
      </x:c>
      <x:c r="G729" t="str">
        <x:v>Media Control &amp; TikTok</x:v>
      </x:c>
      <x:c r="H729" t="n">
        <x:v>202605</x:v>
      </x:c>
      <x:c r="I729" t="str">
        <x:v>Complete</x:v>
      </x:c>
      <x:c r="J729" t="str">
        <x:v>Yes</x:v>
      </x:c>
    </x:row>
    <x:row r="730">
      <x:c r="A730" t="str">
        <x:v>2026-05</x:v>
      </x:c>
      <x:c r="B730" t="n">
        <x:v>2</x:v>
      </x:c>
      <x:c r="C730" t="str">
        <x:v>Yesteryear</x:v>
      </x:c>
      <x:c r="D730" t="str">
        <x:v>Yesteryear</x:v>
      </x:c>
      <x:c r="E730" t="str">
        <x:v>Caro Claire Burke</x:v>
      </x:c>
      <x:c r="F730" t="str">
        <x:v>Official #BookTok Top 20</x:v>
      </x:c>
      <x:c r="G730" t="str">
        <x:v>Media Control &amp; TikTok</x:v>
      </x:c>
      <x:c r="H730" t="n">
        <x:v>202605</x:v>
      </x:c>
      <x:c r="I730" t="str">
        <x:v>Complete</x:v>
      </x:c>
      <x:c r="J730" t="str">
        <x:v>Yes</x:v>
      </x:c>
    </x:row>
    <x:row r="731">
      <x:c r="A731" t="str">
        <x:v>2026-05</x:v>
      </x:c>
      <x:c r="B731" t="n">
        <x:v>3</x:v>
      </x:c>
      <x:c r="C731" t="str">
        <x:v>Kiss The Villain</x:v>
      </x:c>
      <x:c r="D731" t="str">
        <x:v>Kiss The Villain</x:v>
      </x:c>
      <x:c r="E731" t="str">
        <x:v>Rina Kent</x:v>
      </x:c>
      <x:c r="F731" t="str">
        <x:v>Official #BookTok Top 20</x:v>
      </x:c>
      <x:c r="G731" t="str">
        <x:v>Media Control &amp; TikTok</x:v>
      </x:c>
      <x:c r="H731" t="n">
        <x:v>202605</x:v>
      </x:c>
      <x:c r="I731" t="str">
        <x:v>Complete</x:v>
      </x:c>
      <x:c r="J731" t="str">
        <x:v>Yes</x:v>
      </x:c>
    </x:row>
    <x:row r="732">
      <x:c r="A732" t="str">
        <x:v>2026-05</x:v>
      </x:c>
      <x:c r="B732" t="n">
        <x:v>4</x:v>
      </x:c>
      <x:c r="C732" t="str">
        <x:v>Lucifer Ascending - One Sinful Secret</x:v>
      </x:c>
      <x:c r="D732" t="str">
        <x:v>Lucifer Ascending - One Sinful Secret</x:v>
      </x:c>
      <x:c r="E732" t="str">
        <x:v>Marie Niehoff</x:v>
      </x:c>
      <x:c r="F732" t="str">
        <x:v>Official #BookTok Top 20</x:v>
      </x:c>
      <x:c r="G732" t="str">
        <x:v>Media Control &amp; TikTok</x:v>
      </x:c>
      <x:c r="H732" t="n">
        <x:v>202605</x:v>
      </x:c>
      <x:c r="I732" t="str">
        <x:v>Complete</x:v>
      </x:c>
      <x:c r="J732" t="str">
        <x:v>Yes</x:v>
      </x:c>
    </x:row>
    <x:row r="733">
      <x:c r="A733" t="str">
        <x:v>2026-05</x:v>
      </x:c>
      <x:c r="B733" t="n">
        <x:v>5</x:v>
      </x:c>
      <x:c r="C733" t="str">
        <x:v>Picking Daisies on Sundays</x:v>
      </x:c>
      <x:c r="D733" t="str">
        <x:v>Picking Daisies on Sundays</x:v>
      </x:c>
      <x:c r="E733" t="str">
        <x:v>Liana Cincotti</x:v>
      </x:c>
      <x:c r="F733" t="str">
        <x:v>Official #BookTok Top 20</x:v>
      </x:c>
      <x:c r="G733" t="str">
        <x:v>Media Control &amp; TikTok</x:v>
      </x:c>
      <x:c r="H733" t="n">
        <x:v>202605</x:v>
      </x:c>
      <x:c r="I733" t="str">
        <x:v>Complete</x:v>
      </x:c>
      <x:c r="J733" t="str">
        <x:v>Yes</x:v>
      </x:c>
    </x:row>
    <x:row r="734">
      <x:c r="A734" t="str">
        <x:v>2026-05</x:v>
      </x:c>
      <x:c r="B734" t="n">
        <x:v>6</x:v>
      </x:c>
      <x:c r="C734" t="str">
        <x:v>King of Gluttony: Kings of Sin</x:v>
      </x:c>
      <x:c r="D734" t="str">
        <x:v>King of Gluttony</x:v>
      </x:c>
      <x:c r="E734" t="str">
        <x:v>Ana Huang</x:v>
      </x:c>
      <x:c r="F734" t="str">
        <x:v>Official #BookTok Top 20</x:v>
      </x:c>
      <x:c r="G734" t="str">
        <x:v>Media Control &amp; TikTok</x:v>
      </x:c>
      <x:c r="H734" t="n">
        <x:v>202605</x:v>
      </x:c>
      <x:c r="I734" t="str">
        <x:v>Complete</x:v>
      </x:c>
      <x:c r="J734" t="str">
        <x:v>Yes</x:v>
      </x:c>
    </x:row>
    <x:row r="735">
      <x:c r="A735" t="str">
        <x:v>2026-05</x:v>
      </x:c>
      <x:c r="B735" t="n">
        <x:v>7</x:v>
      </x:c>
      <x:c r="C735" t="str">
        <x:v>Fever Dream</x:v>
      </x:c>
      <x:c r="D735" t="str">
        <x:v>Fever Dream</x:v>
      </x:c>
      <x:c r="E735" t="str">
        <x:v>Elsie Silver</x:v>
      </x:c>
      <x:c r="F735" t="str">
        <x:v>Official #BookTok Top 20</x:v>
      </x:c>
      <x:c r="G735" t="str">
        <x:v>Media Control &amp; TikTok</x:v>
      </x:c>
      <x:c r="H735" t="n">
        <x:v>202605</x:v>
      </x:c>
      <x:c r="I735" t="str">
        <x:v>Complete</x:v>
      </x:c>
      <x:c r="J735" t="str">
        <x:v>Yes</x:v>
      </x:c>
    </x:row>
    <x:row r="736">
      <x:c r="A736" t="str">
        <x:v>2026-05</x:v>
      </x:c>
      <x:c r="B736" t="n">
        <x:v>8</x:v>
      </x:c>
      <x:c r="C736" t="str">
        <x:v>Frankie</x:v>
      </x:c>
      <x:c r="D736" t="str">
        <x:v>Frankie</x:v>
      </x:c>
      <x:c r="E736" t="str">
        <x:v>Jochen Gutsch, Maxim Leo</x:v>
      </x:c>
      <x:c r="F736" t="str">
        <x:v>Official #BookTok Top 20</x:v>
      </x:c>
      <x:c r="G736" t="str">
        <x:v>Media Control &amp; TikTok</x:v>
      </x:c>
      <x:c r="H736" t="n">
        <x:v>202605</x:v>
      </x:c>
      <x:c r="I736" t="str">
        <x:v>Complete</x:v>
      </x:c>
      <x:c r="J736" t="str">
        <x:v>Yes</x:v>
      </x:c>
    </x:row>
    <x:row r="737">
      <x:c r="A737" t="str">
        <x:v>2026-05</x:v>
      </x:c>
      <x:c r="B737" t="n">
        <x:v>9</x:v>
      </x:c>
      <x:c r="C737" t="str">
        <x:v>The Deal - Reine Verhandlungssache</x:v>
      </x:c>
      <x:c r="D737" t="str">
        <x:v>The Deal - Reine Verhandlungssache</x:v>
      </x:c>
      <x:c r="E737" t="str">
        <x:v>Elle Kennedy</x:v>
      </x:c>
      <x:c r="F737" t="str">
        <x:v>Official #BookTok Top 20</x:v>
      </x:c>
      <x:c r="G737" t="str">
        <x:v>Media Control &amp; TikTok</x:v>
      </x:c>
      <x:c r="H737" t="n">
        <x:v>202605</x:v>
      </x:c>
      <x:c r="I737" t="str">
        <x:v>Complete</x:v>
      </x:c>
      <x:c r="J737" t="str">
        <x:v>Yes</x:v>
      </x:c>
    </x:row>
    <x:row r="738">
      <x:c r="A738" t="str">
        <x:v>2026-05</x:v>
      </x:c>
      <x:c r="B738" t="n">
        <x:v>10</x:v>
      </x:c>
      <x:c r="C738" t="str">
        <x:v>Du musst mich vergessen</x:v>
      </x:c>
      <x:c r="D738" t="str">
        <x:v>Du musst mich vergessen</x:v>
      </x:c>
      <x:c r="E738" t="str">
        <x:v>Rosie Walsh</x:v>
      </x:c>
      <x:c r="F738" t="str">
        <x:v>Official #BookTok Top 20</x:v>
      </x:c>
      <x:c r="G738" t="str">
        <x:v>Media Control &amp; TikTok</x:v>
      </x:c>
      <x:c r="H738" t="n">
        <x:v>202605</x:v>
      </x:c>
      <x:c r="I738" t="str">
        <x:v>Complete</x:v>
      </x:c>
      <x:c r="J738" t="str">
        <x:v>Yes</x:v>
      </x:c>
    </x:row>
    <x:row r="739">
      <x:c r="A739" t="str">
        <x:v>2026-05</x:v>
      </x:c>
      <x:c r="B739" t="n">
        <x:v>11</x:v>
      </x:c>
      <x:c r="C739" t="str">
        <x:v>Die Mitternachtsbibliothek</x:v>
      </x:c>
      <x:c r="D739" t="str">
        <x:v>Die Mitternachtsbibliothek</x:v>
      </x:c>
      <x:c r="E739" t="str">
        <x:v>Matt Haig</x:v>
      </x:c>
      <x:c r="F739" t="str">
        <x:v>Official #BookTok Top 20</x:v>
      </x:c>
      <x:c r="G739" t="str">
        <x:v>Media Control &amp; TikTok</x:v>
      </x:c>
      <x:c r="H739" t="n">
        <x:v>202605</x:v>
      </x:c>
      <x:c r="I739" t="str">
        <x:v>Complete</x:v>
      </x:c>
      <x:c r="J739" t="str">
        <x:v>Yes</x:v>
      </x:c>
    </x:row>
    <x:row r="740">
      <x:c r="A740" t="str">
        <x:v>2026-05</x:v>
      </x:c>
      <x:c r="B740" t="n">
        <x:v>12</x:v>
      </x:c>
      <x:c r="C740" t="str">
        <x:v>Der Sturm zwischen uns</x:v>
      </x:c>
      <x:c r="D740" t="str">
        <x:v>Der Sturm zwischen uns</x:v>
      </x:c>
      <x:c r="E740" t="str">
        <x:v>Carley Fortune</x:v>
      </x:c>
      <x:c r="F740" t="str">
        <x:v>Official #BookTok Top 20</x:v>
      </x:c>
      <x:c r="G740" t="str">
        <x:v>Media Control &amp; TikTok</x:v>
      </x:c>
      <x:c r="H740" t="n">
        <x:v>202605</x:v>
      </x:c>
      <x:c r="I740" t="str">
        <x:v>Complete</x:v>
      </x:c>
      <x:c r="J740" t="str">
        <x:v>Yes</x:v>
      </x:c>
    </x:row>
    <x:row r="741">
      <x:c r="A741" t="str">
        <x:v>2026-05</x:v>
      </x:c>
      <x:c r="B741" t="n">
        <x:v>13</x:v>
      </x:c>
      <x:c r="C741" t="str">
        <x:v>Masked by Nightfall</x:v>
      </x:c>
      <x:c r="D741" t="str">
        <x:v>Masked by Nightfall</x:v>
      </x:c>
      <x:c r="E741" t="str">
        <x:v>Kim Nina Ocker</x:v>
      </x:c>
      <x:c r="F741" t="str">
        <x:v>Official #BookTok Top 20</x:v>
      </x:c>
      <x:c r="G741" t="str">
        <x:v>Media Control &amp; TikTok</x:v>
      </x:c>
      <x:c r="H741" t="n">
        <x:v>202605</x:v>
      </x:c>
      <x:c r="I741" t="str">
        <x:v>Complete</x:v>
      </x:c>
      <x:c r="J741" t="str">
        <x:v>Yes</x:v>
      </x:c>
    </x:row>
    <x:row r="742">
      <x:c r="A742" t="str">
        <x:v>2026-05</x:v>
      </x:c>
      <x:c r="B742" t="n">
        <x:v>14</x:v>
      </x:c>
      <x:c r="C742" t="str">
        <x:v>Zwischen Ende und Anfang</x:v>
      </x:c>
      <x:c r="D742" t="str">
        <x:v>Zwischen Ende und Anfang</x:v>
      </x:c>
      <x:c r="E742" t="str">
        <x:v>Jojo Moyes</x:v>
      </x:c>
      <x:c r="F742" t="str">
        <x:v>Official #BookTok Top 20</x:v>
      </x:c>
      <x:c r="G742" t="str">
        <x:v>Media Control &amp; TikTok</x:v>
      </x:c>
      <x:c r="H742" t="n">
        <x:v>202605</x:v>
      </x:c>
      <x:c r="I742" t="str">
        <x:v>Complete</x:v>
      </x:c>
      <x:c r="J742" t="str">
        <x:v>Yes</x:v>
      </x:c>
    </x:row>
    <x:row r="743">
      <x:c r="A743" t="str">
        <x:v>2026-05</x:v>
      </x:c>
      <x:c r="B743" t="n">
        <x:v>15</x:v>
      </x:c>
      <x:c r="C743" t="str">
        <x:v>The Mistake - Niemand ist perfekt</x:v>
      </x:c>
      <x:c r="D743" t="str">
        <x:v>The Mistake - Niemand ist perfekt</x:v>
      </x:c>
      <x:c r="E743" t="str">
        <x:v>Elle Kennedy</x:v>
      </x:c>
      <x:c r="F743" t="str">
        <x:v>Official #BookTok Top 20</x:v>
      </x:c>
      <x:c r="G743" t="str">
        <x:v>Media Control &amp; TikTok</x:v>
      </x:c>
      <x:c r="H743" t="n">
        <x:v>202605</x:v>
      </x:c>
      <x:c r="I743" t="str">
        <x:v>Complete</x:v>
      </x:c>
      <x:c r="J743" t="str">
        <x:v>Yes</x:v>
      </x:c>
    </x:row>
    <x:row r="744">
      <x:c r="A744" t="str">
        <x:v>2026-05</x:v>
      </x:c>
      <x:c r="B744" t="n">
        <x:v>16</x:v>
      </x:c>
      <x:c r="C744" t="str">
        <x:v>Moorland. Die Zwillinge</x:v>
      </x:c>
      <x:c r="D744" t="str">
        <x:v>Moorland. Die Zwillinge</x:v>
      </x:c>
      <x:c r="E744" t="str">
        <x:v>Andreas Winkelmann</x:v>
      </x:c>
      <x:c r="F744" t="str">
        <x:v>Official #BookTok Top 20</x:v>
      </x:c>
      <x:c r="G744" t="str">
        <x:v>Media Control &amp; TikTok</x:v>
      </x:c>
      <x:c r="H744" t="n">
        <x:v>202605</x:v>
      </x:c>
      <x:c r="I744" t="str">
        <x:v>Complete</x:v>
      </x:c>
      <x:c r="J744" t="str">
        <x:v>Yes</x:v>
      </x:c>
    </x:row>
    <x:row r="745">
      <x:c r="A745" t="str">
        <x:v>2026-05</x:v>
      </x:c>
      <x:c r="B745" t="n">
        <x:v>17</x:v>
      </x:c>
      <x:c r="C745" t="str">
        <x:v>Die Mitternachtsreise</x:v>
      </x:c>
      <x:c r="D745" t="str">
        <x:v>Die Mitternachtsreise</x:v>
      </x:c>
      <x:c r="E745" t="str">
        <x:v>Matt Haig</x:v>
      </x:c>
      <x:c r="F745" t="str">
        <x:v>Official #BookTok Top 20</x:v>
      </x:c>
      <x:c r="G745" t="str">
        <x:v>Media Control &amp; TikTok</x:v>
      </x:c>
      <x:c r="H745" t="n">
        <x:v>202605</x:v>
      </x:c>
      <x:c r="I745" t="str">
        <x:v>Complete</x:v>
      </x:c>
      <x:c r="J745" t="str">
        <x:v>Yes</x:v>
      </x:c>
    </x:row>
    <x:row r="746">
      <x:c r="A746" t="str">
        <x:v>2026-05</x:v>
      </x:c>
      <x:c r="B746" t="n">
        <x:v>18</x:v>
      </x:c>
      <x:c r="C746" t="str">
        <x:v>Die LET THEM Theorie</x:v>
      </x:c>
      <x:c r="D746" t="str">
        <x:v>Die LET THEM Theorie</x:v>
      </x:c>
      <x:c r="E746" t="str">
        <x:v>Mel Robbins, Sawyer Robbins</x:v>
      </x:c>
      <x:c r="F746" t="str">
        <x:v>Official #BookTok Top 20</x:v>
      </x:c>
      <x:c r="G746" t="str">
        <x:v>Media Control &amp; TikTok</x:v>
      </x:c>
      <x:c r="H746" t="n">
        <x:v>202605</x:v>
      </x:c>
      <x:c r="I746" t="str">
        <x:v>Complete</x:v>
      </x:c>
      <x:c r="J746" t="str">
        <x:v>Yes</x:v>
      </x:c>
    </x:row>
    <x:row r="747">
      <x:c r="A747" t="str">
        <x:v>2026-05</x:v>
      </x:c>
      <x:c r="B747" t="n">
        <x:v>19</x:v>
      </x:c>
      <x:c r="C747" t="str">
        <x:v>The Score - Mitten ins Herz</x:v>
      </x:c>
      <x:c r="D747" t="str">
        <x:v>The Score - Mitten ins Herz</x:v>
      </x:c>
      <x:c r="E747" t="str">
        <x:v>Elle Kennedy</x:v>
      </x:c>
      <x:c r="F747" t="str">
        <x:v>Official #BookTok Top 20</x:v>
      </x:c>
      <x:c r="G747" t="str">
        <x:v>Media Control &amp; TikTok</x:v>
      </x:c>
      <x:c r="H747" t="n">
        <x:v>202605</x:v>
      </x:c>
      <x:c r="I747" t="str">
        <x:v>Complete</x:v>
      </x:c>
      <x:c r="J747" t="str">
        <x:v>Yes</x:v>
      </x:c>
    </x:row>
    <x:row r="748">
      <x:c r="A748" t="str">
        <x:v>2026-05</x:v>
      </x:c>
      <x:c r="B748" t="n">
        <x:v>20</x:v>
      </x:c>
      <x:c r="C748" t="str">
        <x:v>In Her Own League</x:v>
      </x:c>
      <x:c r="D748" t="str">
        <x:v>In Her Own League</x:v>
      </x:c>
      <x:c r="E748" t="str">
        <x:v>Liz Tomforde</x:v>
      </x:c>
      <x:c r="F748" t="str">
        <x:v>Official #BookTok Top 20</x:v>
      </x:c>
      <x:c r="G748" t="str">
        <x:v>Media Control &amp; TikTok</x:v>
      </x:c>
      <x:c r="H748" t="n">
        <x:v>202605</x:v>
      </x:c>
      <x:c r="I748" t="str">
        <x:v>Complete</x:v>
      </x:c>
      <x:c r="J748" t="str">
        <x:v>Yes</x:v>
      </x:c>
    </x:row>
    <x:row r="749">
      <x:c r="A749" t="str">
        <x:v>2026-06</x:v>
      </x:c>
      <x:c r="B749" t="n">
        <x:v>1</x:v>
      </x:c>
      <x:c r="C749" t="str">
        <x:v>The Deal - Reine Verhandlungssache</x:v>
      </x:c>
      <x:c r="D749" t="str">
        <x:v>The Deal - Reine Verhandlungssache</x:v>
      </x:c>
      <x:c r="E749" t="str">
        <x:v>Elle Kennedy</x:v>
      </x:c>
      <x:c r="F749" t="str">
        <x:v>Official #BookTok Top 20</x:v>
      </x:c>
      <x:c r="G749" t="str">
        <x:v>Media Control &amp; TikTok</x:v>
      </x:c>
      <x:c r="H749" t="n">
        <x:v>202606</x:v>
      </x:c>
      <x:c r="I749" t="str">
        <x:v>Complete</x:v>
      </x:c>
      <x:c r="J749" t="str">
        <x:v>Yes</x:v>
      </x:c>
    </x:row>
    <x:row r="750">
      <x:c r="A750" t="str">
        <x:v>2026-06</x:v>
      </x:c>
      <x:c r="B750" t="n">
        <x:v>2</x:v>
      </x:c>
      <x:c r="C750" t="str">
        <x:v>The Score - Mitten ins Herz</x:v>
      </x:c>
      <x:c r="D750" t="str">
        <x:v>The Score - Mitten ins Herz</x:v>
      </x:c>
      <x:c r="E750" t="str">
        <x:v>Elle Kennedy</x:v>
      </x:c>
      <x:c r="F750" t="str">
        <x:v>Official #BookTok Top 20</x:v>
      </x:c>
      <x:c r="G750" t="str">
        <x:v>Media Control &amp; TikTok</x:v>
      </x:c>
      <x:c r="H750" t="n">
        <x:v>202606</x:v>
      </x:c>
      <x:c r="I750" t="str">
        <x:v>Complete</x:v>
      </x:c>
      <x:c r="J750" t="str">
        <x:v>Yes</x:v>
      </x:c>
    </x:row>
    <x:row r="751">
      <x:c r="A751" t="str">
        <x:v>2026-06</x:v>
      </x:c>
      <x:c r="B751" t="n">
        <x:v>3</x:v>
      </x:c>
      <x:c r="C751" t="str">
        <x:v>Frankie</x:v>
      </x:c>
      <x:c r="D751" t="str">
        <x:v>Frankie</x:v>
      </x:c>
      <x:c r="E751" t="str">
        <x:v>Jochen Gutsch, Maxim Leo</x:v>
      </x:c>
      <x:c r="F751" t="str">
        <x:v>Official #BookTok Top 20</x:v>
      </x:c>
      <x:c r="G751" t="str">
        <x:v>Media Control &amp; TikTok</x:v>
      </x:c>
      <x:c r="H751" t="n">
        <x:v>202606</x:v>
      </x:c>
      <x:c r="I751" t="str">
        <x:v>Complete</x:v>
      </x:c>
      <x:c r="J751" t="str">
        <x:v>Yes</x:v>
      </x:c>
    </x:row>
    <x:row r="752">
      <x:c r="A752" t="str">
        <x:v>2026-06</x:v>
      </x:c>
      <x:c r="B752" t="n">
        <x:v>4</x:v>
      </x:c>
      <x:c r="C752" t="str">
        <x:v>Bad Bishop</x:v>
      </x:c>
      <x:c r="D752" t="str">
        <x:v>Bad Bishop</x:v>
      </x:c>
      <x:c r="E752" t="str">
        <x:v>L. J. Shen</x:v>
      </x:c>
      <x:c r="F752" t="str">
        <x:v>Official #BookTok Top 20</x:v>
      </x:c>
      <x:c r="G752" t="str">
        <x:v>Media Control &amp; TikTok</x:v>
      </x:c>
      <x:c r="H752" t="n">
        <x:v>202606</x:v>
      </x:c>
      <x:c r="I752" t="str">
        <x:v>Complete</x:v>
      </x:c>
      <x:c r="J752" t="str">
        <x:v>Yes</x:v>
      </x:c>
    </x:row>
    <x:row r="753">
      <x:c r="A753" t="str">
        <x:v>2026-06</x:v>
      </x:c>
      <x:c r="B753" t="n">
        <x:v>5</x:v>
      </x:c>
      <x:c r="C753" t="str">
        <x:v>The Long Game</x:v>
      </x:c>
      <x:c r="D753" t="str">
        <x:v>The Long Game</x:v>
      </x:c>
      <x:c r="E753" t="str">
        <x:v>Rachel Reid</x:v>
      </x:c>
      <x:c r="F753" t="str">
        <x:v>Official #BookTok Top 20</x:v>
      </x:c>
      <x:c r="G753" t="str">
        <x:v>Media Control &amp; TikTok</x:v>
      </x:c>
      <x:c r="H753" t="n">
        <x:v>202606</x:v>
      </x:c>
      <x:c r="I753" t="str">
        <x:v>Complete</x:v>
      </x:c>
      <x:c r="J753" t="str">
        <x:v>Yes</x:v>
      </x:c>
    </x:row>
    <x:row r="754">
      <x:c r="A754" t="str">
        <x:v>2026-06</x:v>
      </x:c>
      <x:c r="B754" t="n">
        <x:v>6</x:v>
      </x:c>
      <x:c r="C754" t="str">
        <x:v>Wanna be my lover</x:v>
      </x:c>
      <x:c r="D754" t="str">
        <x:v>Wanna be my lover</x:v>
      </x:c>
      <x:c r="E754" t="str">
        <x:v>Ayla Dade</x:v>
      </x:c>
      <x:c r="F754" t="str">
        <x:v>Official #BookTok Top 20</x:v>
      </x:c>
      <x:c r="G754" t="str">
        <x:v>Media Control &amp; TikTok</x:v>
      </x:c>
      <x:c r="H754" t="n">
        <x:v>202606</x:v>
      </x:c>
      <x:c r="I754" t="str">
        <x:v>Complete</x:v>
      </x:c>
      <x:c r="J754" t="str">
        <x:v>Yes</x:v>
      </x:c>
    </x:row>
    <x:row r="755">
      <x:c r="A755" t="str">
        <x:v>2026-06</x:v>
      </x:c>
      <x:c r="B755" t="n">
        <x:v>7</x:v>
      </x:c>
      <x:c r="C755" t="str">
        <x:v>Yesteryear</x:v>
      </x:c>
      <x:c r="D755" t="str">
        <x:v>Yesteryear</x:v>
      </x:c>
      <x:c r="E755" t="str">
        <x:v>Caro Claire Burke</x:v>
      </x:c>
      <x:c r="F755" t="str">
        <x:v>Official #BookTok Top 20</x:v>
      </x:c>
      <x:c r="G755" t="str">
        <x:v>Media Control &amp; TikTok</x:v>
      </x:c>
      <x:c r="H755" t="n">
        <x:v>202606</x:v>
      </x:c>
      <x:c r="I755" t="str">
        <x:v>Complete</x:v>
      </x:c>
      <x:c r="J755" t="str">
        <x:v>Yes</x:v>
      </x:c>
    </x:row>
    <x:row r="756">
      <x:c r="A756" t="str">
        <x:v>2026-06</x:v>
      </x:c>
      <x:c r="B756" t="n">
        <x:v>8</x:v>
      </x:c>
      <x:c r="C756" t="str">
        <x:v>Fünf Sommer mit dir</x:v>
      </x:c>
      <x:c r="D756" t="str">
        <x:v>Fünf Sommer mit dir</x:v>
      </x:c>
      <x:c r="E756" t="str">
        <x:v>Carley Fortune</x:v>
      </x:c>
      <x:c r="F756" t="str">
        <x:v>Official #BookTok Top 20</x:v>
      </x:c>
      <x:c r="G756" t="str">
        <x:v>Media Control &amp; TikTok</x:v>
      </x:c>
      <x:c r="H756" t="n">
        <x:v>202606</x:v>
      </x:c>
      <x:c r="I756" t="str">
        <x:v>Complete</x:v>
      </x:c>
      <x:c r="J756" t="str">
        <x:v>Yes</x:v>
      </x:c>
    </x:row>
    <x:row r="757">
      <x:c r="A757" t="str">
        <x:v>2026-06</x:v>
      </x:c>
      <x:c r="B757" t="n">
        <x:v>9</x:v>
      </x:c>
      <x:c r="C757" t="str">
        <x:v>Der Sturm zwischen uns</x:v>
      </x:c>
      <x:c r="D757" t="str">
        <x:v>Der Sturm zwischen uns</x:v>
      </x:c>
      <x:c r="E757" t="str">
        <x:v>Carley Fortune</x:v>
      </x:c>
      <x:c r="F757" t="str">
        <x:v>Official #BookTok Top 20</x:v>
      </x:c>
      <x:c r="G757" t="str">
        <x:v>Media Control &amp; TikTok</x:v>
      </x:c>
      <x:c r="H757" t="n">
        <x:v>202606</x:v>
      </x:c>
      <x:c r="I757" t="str">
        <x:v>Complete</x:v>
      </x:c>
      <x:c r="J757" t="str">
        <x:v>Yes</x:v>
      </x:c>
    </x:row>
    <x:row r="758">
      <x:c r="A758" t="str">
        <x:v>2026-06</x:v>
      </x:c>
      <x:c r="B758" t="n">
        <x:v>10</x:v>
      </x:c>
      <x:c r="C758" t="str">
        <x:v>Secret - Du sollst mich fürchten</x:v>
      </x:c>
      <x:c r="D758" t="str">
        <x:v>Secret - Du sollst mich fürchten</x:v>
      </x:c>
      <x:c r="E758" t="str">
        <x:v>S.T. Abby</x:v>
      </x:c>
      <x:c r="F758" t="str">
        <x:v>Official #BookTok Top 20</x:v>
      </x:c>
      <x:c r="G758" t="str">
        <x:v>Media Control &amp; TikTok</x:v>
      </x:c>
      <x:c r="H758" t="n">
        <x:v>202606</x:v>
      </x:c>
      <x:c r="I758" t="str">
        <x:v>Complete</x:v>
      </x:c>
      <x:c r="J758" t="str">
        <x:v>Yes</x:v>
      </x:c>
    </x:row>
    <x:row r="759">
      <x:c r="A759" t="str">
        <x:v>2026-06</x:v>
      </x:c>
      <x:c r="B759" t="n">
        <x:v>11</x:v>
      </x:c>
      <x:c r="C759" t="str">
        <x:v>Dunbridge Academy - Whoever</x:v>
      </x:c>
      <x:c r="D759" t="str">
        <x:v>Dunbridge Academy - Whoever</x:v>
      </x:c>
      <x:c r="E759" t="str">
        <x:v>Sarah Sprinz</x:v>
      </x:c>
      <x:c r="F759" t="str">
        <x:v>Official #BookTok Top 20</x:v>
      </x:c>
      <x:c r="G759" t="str">
        <x:v>Media Control &amp; TikTok</x:v>
      </x:c>
      <x:c r="H759" t="n">
        <x:v>202606</x:v>
      </x:c>
      <x:c r="I759" t="str">
        <x:v>Complete</x:v>
      </x:c>
      <x:c r="J759" t="str">
        <x:v>Yes</x:v>
      </x:c>
    </x:row>
    <x:row r="760">
      <x:c r="A760" t="str">
        <x:v>2026-06</x:v>
      </x:c>
      <x:c r="B760" t="n">
        <x:v>12</x:v>
      </x:c>
      <x:c r="C760" t="str">
        <x:v>The Mistake - Niemand ist perfekt</x:v>
      </x:c>
      <x:c r="D760" t="str">
        <x:v>The Mistake - Niemand ist perfekt</x:v>
      </x:c>
      <x:c r="E760" t="str">
        <x:v>Elle Kennedy</x:v>
      </x:c>
      <x:c r="F760" t="str">
        <x:v>Official #BookTok Top 20</x:v>
      </x:c>
      <x:c r="G760" t="str">
        <x:v>Media Control &amp; TikTok</x:v>
      </x:c>
      <x:c r="H760" t="n">
        <x:v>202606</x:v>
      </x:c>
      <x:c r="I760" t="str">
        <x:v>Complete</x:v>
      </x:c>
      <x:c r="J760" t="str">
        <x:v>Yes</x:v>
      </x:c>
    </x:row>
    <x:row r="761">
      <x:c r="A761" t="str">
        <x:v>2026-06</x:v>
      </x:c>
      <x:c r="B761" t="n">
        <x:v>13</x:v>
      </x:c>
      <x:c r="C761" t="str">
        <x:v>Die Mitternachtsreise</x:v>
      </x:c>
      <x:c r="D761" t="str">
        <x:v>Die Mitternachtsreise</x:v>
      </x:c>
      <x:c r="E761" t="str">
        <x:v>Matt Haig</x:v>
      </x:c>
      <x:c r="F761" t="str">
        <x:v>Official #BookTok Top 20</x:v>
      </x:c>
      <x:c r="G761" t="str">
        <x:v>Media Control &amp; TikTok</x:v>
      </x:c>
      <x:c r="H761" t="n">
        <x:v>202606</x:v>
      </x:c>
      <x:c r="I761" t="str">
        <x:v>Complete</x:v>
      </x:c>
      <x:c r="J761" t="str">
        <x:v>Yes</x:v>
      </x:c>
    </x:row>
    <x:row r="762">
      <x:c r="A762" t="str">
        <x:v>2026-06</x:v>
      </x:c>
      <x:c r="B762" t="n">
        <x:v>14</x:v>
      </x:c>
      <x:c r="C762" t="str">
        <x:v>Anathema</x:v>
      </x:c>
      <x:c r="D762" t="str">
        <x:v>Anathema</x:v>
      </x:c>
      <x:c r="E762" t="str">
        <x:v>Keri Lake</x:v>
      </x:c>
      <x:c r="F762" t="str">
        <x:v>Official #BookTok Top 20</x:v>
      </x:c>
      <x:c r="G762" t="str">
        <x:v>Media Control &amp; TikTok</x:v>
      </x:c>
      <x:c r="H762" t="n">
        <x:v>202606</x:v>
      </x:c>
      <x:c r="I762" t="str">
        <x:v>Complete</x:v>
      </x:c>
      <x:c r="J762" t="str">
        <x:v>Yes</x:v>
      </x:c>
    </x:row>
    <x:row r="763">
      <x:c r="A763" t="str">
        <x:v>2026-06</x:v>
      </x:c>
      <x:c r="B763" t="n">
        <x:v>15</x:v>
      </x:c>
      <x:c r="C763" t="str">
        <x:v>Blood - Du sollst bereuen</x:v>
      </x:c>
      <x:c r="D763" t="str">
        <x:v>Blood - Du sollst bereuen</x:v>
      </x:c>
      <x:c r="E763" t="str">
        <x:v>S.T. Abby</x:v>
      </x:c>
      <x:c r="F763" t="str">
        <x:v>Official #BookTok Top 20</x:v>
      </x:c>
      <x:c r="G763" t="str">
        <x:v>Media Control &amp; TikTok</x:v>
      </x:c>
      <x:c r="H763" t="n">
        <x:v>202606</x:v>
      </x:c>
      <x:c r="I763" t="str">
        <x:v>Complete</x:v>
      </x:c>
      <x:c r="J763" t="str">
        <x:v>Yes</x:v>
      </x:c>
    </x:row>
    <x:row r="764">
      <x:c r="A764" t="str">
        <x:v>2026-06</x:v>
      </x:c>
      <x:c r="B764" t="n">
        <x:v>16</x:v>
      </x:c>
      <x:c r="C764" t="str">
        <x:v>22 Bahnen</x:v>
      </x:c>
      <x:c r="D764" t="str">
        <x:v>22 Bahnen</x:v>
      </x:c>
      <x:c r="E764" t="str">
        <x:v>Caroline Wahl</x:v>
      </x:c>
      <x:c r="F764" t="str">
        <x:v>Official #BookTok Top 20</x:v>
      </x:c>
      <x:c r="G764" t="str">
        <x:v>Media Control &amp; TikTok</x:v>
      </x:c>
      <x:c r="H764" t="n">
        <x:v>202606</x:v>
      </x:c>
      <x:c r="I764" t="str">
        <x:v>Complete</x:v>
      </x:c>
      <x:c r="J764" t="str">
        <x:v>Yes</x:v>
      </x:c>
    </x:row>
    <x:row r="765">
      <x:c r="A765" t="str">
        <x:v>2026-06</x:v>
      </x:c>
      <x:c r="B765" t="n">
        <x:v>17</x:v>
      </x:c>
      <x:c r="C765" t="str">
        <x:v>Du musst mich vergessen</x:v>
      </x:c>
      <x:c r="D765" t="str">
        <x:v>Du musst mich vergessen</x:v>
      </x:c>
      <x:c r="E765" t="str">
        <x:v>Rosie Walsh</x:v>
      </x:c>
      <x:c r="F765" t="str">
        <x:v>Official #BookTok Top 20</x:v>
      </x:c>
      <x:c r="G765" t="str">
        <x:v>Media Control &amp; TikTok</x:v>
      </x:c>
      <x:c r="H765" t="n">
        <x:v>202606</x:v>
      </x:c>
      <x:c r="I765" t="str">
        <x:v>Complete</x:v>
      </x:c>
      <x:c r="J765" t="str">
        <x:v>Yes</x:v>
      </x:c>
    </x:row>
    <x:row r="766">
      <x:c r="A766" t="str">
        <x:v>2026-06</x:v>
      </x:c>
      <x:c r="B766" t="n">
        <x:v>18</x:v>
      </x:c>
      <x:c r="C766" t="str">
        <x:v>Das Café am Rande der Welt</x:v>
      </x:c>
      <x:c r="D766" t="str">
        <x:v>Das Café am Rande der Welt</x:v>
      </x:c>
      <x:c r="E766" t="str">
        <x:v>John Strelecky</x:v>
      </x:c>
      <x:c r="F766" t="str">
        <x:v>Official #BookTok Top 20</x:v>
      </x:c>
      <x:c r="G766" t="str">
        <x:v>Media Control &amp; TikTok</x:v>
      </x:c>
      <x:c r="H766" t="n">
        <x:v>202606</x:v>
      </x:c>
      <x:c r="I766" t="str">
        <x:v>Complete</x:v>
      </x:c>
      <x:c r="J766" t="str">
        <x:v>Yes</x:v>
      </x:c>
    </x:row>
    <x:row r="767">
      <x:c r="A767" t="str">
        <x:v>2026-06</x:v>
      </x:c>
      <x:c r="B767" t="n">
        <x:v>19</x:v>
      </x:c>
      <x:c r="C767" t="str">
        <x:v>How to Catch a (Fake) Cowboy</x:v>
      </x:c>
      <x:c r="D767" t="str">
        <x:v>How to Catch a (Fake) Cowboy</x:v>
      </x:c>
      <x:c r="E767" t="str">
        <x:v>Maren Vivien Haase</x:v>
      </x:c>
      <x:c r="F767" t="str">
        <x:v>Official #BookTok Top 20</x:v>
      </x:c>
      <x:c r="G767" t="str">
        <x:v>Media Control &amp; TikTok</x:v>
      </x:c>
      <x:c r="H767" t="n">
        <x:v>202606</x:v>
      </x:c>
      <x:c r="I767" t="str">
        <x:v>Complete</x:v>
      </x:c>
      <x:c r="J767" t="str">
        <x:v>Yes</x:v>
      </x:c>
    </x:row>
    <x:row r="768">
      <x:c r="A768" t="str">
        <x:v>2026-06</x:v>
      </x:c>
      <x:c r="B768" t="n">
        <x:v>20</x:v>
      </x:c>
      <x:c r="C768" t="str">
        <x:v>Die Meerglas-Schwestern</x:v>
      </x:c>
      <x:c r="D768" t="str">
        <x:v>Die Meerglas-Schwestern</x:v>
      </x:c>
      <x:c r="E768" t="str">
        <x:v>Eleanor Buchanan</x:v>
      </x:c>
      <x:c r="F768" t="str">
        <x:v>Official #BookTok Top 20</x:v>
      </x:c>
      <x:c r="G768" t="str">
        <x:v>Media Control &amp; TikTok</x:v>
      </x:c>
      <x:c r="H768" t="n">
        <x:v>202606</x:v>
      </x:c>
      <x:c r="I768" t="str">
        <x:v>Complete</x:v>
      </x:c>
      <x:c r="J768" t="str">
        <x:v>Yes</x:v>
      </x:c>
    </x:row>
    <x:row r="769">
      <x:c r="A769" t="str">
        <x:v>2026-07</x:v>
      </x:c>
      <x:c r="B769" t="n">
        <x:v>1</x:v>
      </x:c>
      <x:c r="C769" t="str">
        <x:v>Heartstopper Volume 6</x:v>
      </x:c>
      <x:c r="D769" t="str">
        <x:v>Heartstopper Volume 6</x:v>
      </x:c>
      <x:c r="E769" t="str">
        <x:v>Alice Oseman</x:v>
      </x:c>
      <x:c r="F769" t="str">
        <x:v>Official #BookTok Top 20</x:v>
      </x:c>
      <x:c r="G769" t="str">
        <x:v>Media Control &amp; TikTok</x:v>
      </x:c>
      <x:c r="H769" t="n">
        <x:v>202607</x:v>
      </x:c>
      <x:c r="I769" t="str">
        <x:v>Complete</x:v>
      </x:c>
      <x:c r="J769" t="str">
        <x:v>Yes</x:v>
      </x:c>
    </x:row>
    <x:row r="770">
      <x:c r="A770" t="str">
        <x:v>2026-07</x:v>
      </x:c>
      <x:c r="B770" t="n">
        <x:v>2</x:v>
      </x:c>
      <x:c r="C770" t="str">
        <x:v>Love is like a Tsunami</x:v>
      </x:c>
      <x:c r="D770" t="str">
        <x:v>Love is like a Tsunami</x:v>
      </x:c>
      <x:c r="E770" t="str">
        <x:v>Ronja Madeleine</x:v>
      </x:c>
      <x:c r="F770" t="str">
        <x:v>Official #BookTok Top 20</x:v>
      </x:c>
      <x:c r="G770" t="str">
        <x:v>Media Control &amp; TikTok</x:v>
      </x:c>
      <x:c r="H770" t="n">
        <x:v>202607</x:v>
      </x:c>
      <x:c r="I770" t="str">
        <x:v>Complete</x:v>
      </x:c>
      <x:c r="J770" t="str">
        <x:v>Yes</x:v>
      </x:c>
    </x:row>
    <x:row r="771">
      <x:c r="A771" t="str">
        <x:v>2026-07</x:v>
      </x:c>
      <x:c r="B771" t="n">
        <x:v>3</x:v>
      </x:c>
      <x:c r="C771" t="str">
        <x:v>Die Psychiaterin - Wurde ihr der Job zum Verhängnis?</x:v>
      </x:c>
      <x:c r="D771" t="str">
        <x:v>Die Psychiaterin - Wurde ihr der Job zum Verhängnis?</x:v>
      </x:c>
      <x:c r="E771" t="str">
        <x:v>Freida McFadden</x:v>
      </x:c>
      <x:c r="F771" t="str">
        <x:v>Official #BookTok Top 20</x:v>
      </x:c>
      <x:c r="G771" t="str">
        <x:v>Media Control &amp; TikTok</x:v>
      </x:c>
      <x:c r="H771" t="n">
        <x:v>202607</x:v>
      </x:c>
      <x:c r="I771" t="str">
        <x:v>Complete</x:v>
      </x:c>
      <x:c r="J771" t="str">
        <x:v>Yes</x:v>
      </x:c>
    </x:row>
    <x:row r="772">
      <x:c r="A772" t="str">
        <x:v>2026-07</x:v>
      </x:c>
      <x:c r="B772" t="n">
        <x:v>4</x:v>
      </x:c>
      <x:c r="C772" t="str">
        <x:v>Yesteryear</x:v>
      </x:c>
      <x:c r="D772" t="str">
        <x:v>Yesteryear</x:v>
      </x:c>
      <x:c r="E772" t="str">
        <x:v>Caro Claire Burke</x:v>
      </x:c>
      <x:c r="F772" t="str">
        <x:v>Official #BookTok Top 20</x:v>
      </x:c>
      <x:c r="G772" t="str">
        <x:v>Media Control &amp; TikTok</x:v>
      </x:c>
      <x:c r="H772" t="n">
        <x:v>202607</x:v>
      </x:c>
      <x:c r="I772" t="str">
        <x:v>Complete</x:v>
      </x:c>
      <x:c r="J772" t="str">
        <x:v>Yes</x:v>
      </x:c>
    </x:row>
    <x:row r="773">
      <x:c r="A773" t="str">
        <x:v>2026-07</x:v>
      </x:c>
      <x:c r="B773" t="n">
        <x:v>5</x:v>
      </x:c>
      <x:c r="C773" t="str">
        <x:v>Wie das Schweigen vor der Flut</x:v>
      </x:c>
      <x:c r="D773" t="str">
        <x:v>Wie das Schweigen vor der Flut</x:v>
      </x:c>
      <x:c r="E773" t="str">
        <x:v>Brittainy Cherry</x:v>
      </x:c>
      <x:c r="F773" t="str">
        <x:v>Official #BookTok Top 20</x:v>
      </x:c>
      <x:c r="G773" t="str">
        <x:v>Media Control &amp; TikTok</x:v>
      </x:c>
      <x:c r="H773" t="n">
        <x:v>202607</x:v>
      </x:c>
      <x:c r="I773" t="str">
        <x:v>Complete</x:v>
      </x:c>
      <x:c r="J773" t="str">
        <x:v>Yes</x:v>
      </x:c>
    </x:row>
    <x:row r="774">
      <x:c r="A774" t="str">
        <x:v>2026-07</x:v>
      </x:c>
      <x:c r="B774" t="n">
        <x:v>6</x:v>
      </x:c>
      <x:c r="C774" t="str">
        <x:v>Secret - Du sollst mich fürchten</x:v>
      </x:c>
      <x:c r="D774" t="str">
        <x:v>Secret - Du sollst mich fürchten</x:v>
      </x:c>
      <x:c r="E774" t="str">
        <x:v>S.T. Abby</x:v>
      </x:c>
      <x:c r="F774" t="str">
        <x:v>Official #BookTok Top 20</x:v>
      </x:c>
      <x:c r="G774" t="str">
        <x:v>Media Control &amp; TikTok</x:v>
      </x:c>
      <x:c r="H774" t="n">
        <x:v>202607</x:v>
      </x:c>
      <x:c r="I774" t="str">
        <x:v>Complete</x:v>
      </x:c>
      <x:c r="J774" t="str">
        <x:v>Yes</x:v>
      </x:c>
    </x:row>
    <x:row r="775">
      <x:c r="A775" t="str">
        <x:v>2026-07</x:v>
      </x:c>
      <x:c r="B775" t="n">
        <x:v>7</x:v>
      </x:c>
      <x:c r="C775" t="str">
        <x:v>Blood - Du sollst bereuen</x:v>
      </x:c>
      <x:c r="D775" t="str">
        <x:v>Blood - Du sollst bereuen</x:v>
      </x:c>
      <x:c r="E775" t="str">
        <x:v>S.T. Abby</x:v>
      </x:c>
      <x:c r="F775" t="str">
        <x:v>Official #BookTok Top 20</x:v>
      </x:c>
      <x:c r="G775" t="str">
        <x:v>Media Control &amp; TikTok</x:v>
      </x:c>
      <x:c r="H775" t="n">
        <x:v>202607</x:v>
      </x:c>
      <x:c r="I775" t="str">
        <x:v>Complete</x:v>
      </x:c>
      <x:c r="J775" t="str">
        <x:v>Yes</x:v>
      </x:c>
    </x:row>
    <x:row r="776">
      <x:c r="A776" t="str">
        <x:v>2026-07</x:v>
      </x:c>
      <x:c r="B776" t="n">
        <x:v>8</x:v>
      </x:c>
      <x:c r="C776" t="str">
        <x:v>Fury Bound</x:v>
      </x:c>
      <x:c r="D776" t="str">
        <x:v>Fury Bound</x:v>
      </x:c>
      <x:c r="E776" t="str">
        <x:v>Sable Sorensen</x:v>
      </x:c>
      <x:c r="F776" t="str">
        <x:v>Official #BookTok Top 20</x:v>
      </x:c>
      <x:c r="G776" t="str">
        <x:v>Media Control &amp; TikTok</x:v>
      </x:c>
      <x:c r="H776" t="n">
        <x:v>202607</x:v>
      </x:c>
      <x:c r="I776" t="str">
        <x:v>Complete</x:v>
      </x:c>
      <x:c r="J776" t="str">
        <x:v>Yes</x:v>
      </x:c>
    </x:row>
    <x:row r="777">
      <x:c r="A777" t="str">
        <x:v>2026-07</x:v>
      </x:c>
      <x:c r="B777" t="n">
        <x:v>9</x:v>
      </x:c>
      <x:c r="C777" t="str">
        <x:v>Still Beating</x:v>
      </x:c>
      <x:c r="D777" t="str">
        <x:v>Still Beating</x:v>
      </x:c>
      <x:c r="E777" t="str">
        <x:v>Jennifer Hartmann</x:v>
      </x:c>
      <x:c r="F777" t="str">
        <x:v>Official #BookTok Top 20</x:v>
      </x:c>
      <x:c r="G777" t="str">
        <x:v>Media Control &amp; TikTok</x:v>
      </x:c>
      <x:c r="H777" t="n">
        <x:v>202607</x:v>
      </x:c>
      <x:c r="I777" t="str">
        <x:v>Complete</x:v>
      </x:c>
      <x:c r="J777" t="str">
        <x:v>Yes</x:v>
      </x:c>
    </x:row>
    <x:row r="778">
      <x:c r="A778" t="str">
        <x:v>2026-07</x:v>
      </x:c>
      <x:c r="B778" t="n">
        <x:v>10</x:v>
      </x:c>
      <x:c r="C778" t="str">
        <x:v>Fünf Sommer mit dir</x:v>
      </x:c>
      <x:c r="D778" t="str">
        <x:v>Fünf Sommer mit dir</x:v>
      </x:c>
      <x:c r="E778" t="str">
        <x:v>Carley Fortune</x:v>
      </x:c>
      <x:c r="F778" t="str">
        <x:v>Official #BookTok Top 20</x:v>
      </x:c>
      <x:c r="G778" t="str">
        <x:v>Media Control &amp; TikTok</x:v>
      </x:c>
      <x:c r="H778" t="n">
        <x:v>202607</x:v>
      </x:c>
      <x:c r="I778" t="str">
        <x:v>Complete</x:v>
      </x:c>
      <x:c r="J778" t="str">
        <x:v>Yes</x:v>
      </x:c>
    </x:row>
    <x:row r="779">
      <x:c r="A779" t="str">
        <x:v>2026-07</x:v>
      </x:c>
      <x:c r="B779" t="n">
        <x:v>11</x:v>
      </x:c>
      <x:c r="C779" t="str">
        <x:v>22 Bahnen</x:v>
      </x:c>
      <x:c r="D779" t="str">
        <x:v>22 Bahnen</x:v>
      </x:c>
      <x:c r="E779" t="str">
        <x:v>Caroline Wahl</x:v>
      </x:c>
      <x:c r="F779" t="str">
        <x:v>Official #BookTok Top 20</x:v>
      </x:c>
      <x:c r="G779" t="str">
        <x:v>Media Control &amp; TikTok</x:v>
      </x:c>
      <x:c r="H779" t="n">
        <x:v>202607</x:v>
      </x:c>
      <x:c r="I779" t="str">
        <x:v>Complete</x:v>
      </x:c>
      <x:c r="J779" t="str">
        <x:v>Yes</x:v>
      </x:c>
    </x:row>
    <x:row r="780">
      <x:c r="A780" t="str">
        <x:v>2026-07</x:v>
      </x:c>
      <x:c r="B780" t="n">
        <x:v>12</x:v>
      </x:c>
      <x:c r="C780" t="str">
        <x:v>The Deal - Reine Verhandlungssache</x:v>
      </x:c>
      <x:c r="D780" t="str">
        <x:v>The Deal - Reine Verhandlungssache</x:v>
      </x:c>
      <x:c r="E780" t="str">
        <x:v>Elle Kennedy</x:v>
      </x:c>
      <x:c r="F780" t="str">
        <x:v>Official #BookTok Top 20</x:v>
      </x:c>
      <x:c r="G780" t="str">
        <x:v>Media Control &amp; TikTok</x:v>
      </x:c>
      <x:c r="H780" t="n">
        <x:v>202607</x:v>
      </x:c>
      <x:c r="I780" t="str">
        <x:v>Complete</x:v>
      </x:c>
      <x:c r="J780" t="str">
        <x:v>Yes</x:v>
      </x:c>
    </x:row>
    <x:row r="781">
      <x:c r="A781" t="str">
        <x:v>2026-07</x:v>
      </x:c>
      <x:c r="B781" t="n">
        <x:v>13</x:v>
      </x:c>
      <x:c r="C781" t="str">
        <x:v>Wanna be my lover</x:v>
      </x:c>
      <x:c r="D781" t="str">
        <x:v>Wanna be my lover</x:v>
      </x:c>
      <x:c r="E781" t="str">
        <x:v>Ayla Dade</x:v>
      </x:c>
      <x:c r="F781" t="str">
        <x:v>Official #BookTok Top 20</x:v>
      </x:c>
      <x:c r="G781" t="str">
        <x:v>Media Control &amp; TikTok</x:v>
      </x:c>
      <x:c r="H781" t="n">
        <x:v>202607</x:v>
      </x:c>
      <x:c r="I781" t="str">
        <x:v>Complete</x:v>
      </x:c>
      <x:c r="J781" t="str">
        <x:v>Yes</x:v>
      </x:c>
    </x:row>
    <x:row r="782">
      <x:c r="A782" t="str">
        <x:v>2026-07</x:v>
      </x:c>
      <x:c r="B782" t="n">
        <x:v>14</x:v>
      </x:c>
      <x:c r="C782" t="str">
        <x:v>Der Sommer unseres Lebens</x:v>
      </x:c>
      <x:c r="D782" t="str">
        <x:v>Der Sommer unseres Lebens</x:v>
      </x:c>
      <x:c r="E782" t="str">
        <x:v>Carley Fortune</x:v>
      </x:c>
      <x:c r="F782" t="str">
        <x:v>Official #BookTok Top 20</x:v>
      </x:c>
      <x:c r="G782" t="str">
        <x:v>Media Control &amp; TikTok</x:v>
      </x:c>
      <x:c r="H782" t="n">
        <x:v>202607</x:v>
      </x:c>
      <x:c r="I782" t="str">
        <x:v>Complete</x:v>
      </x:c>
      <x:c r="J782" t="str">
        <x:v>Yes</x:v>
      </x:c>
    </x:row>
    <x:row r="783">
      <x:c r="A783" t="str">
        <x:v>2026-07</x:v>
      </x:c>
      <x:c r="B783" t="n">
        <x:v>15</x:v>
      </x:c>
      <x:c r="C783" t="str">
        <x:v>The Mistake - Niemand ist perfekt</x:v>
      </x:c>
      <x:c r="D783" t="str">
        <x:v>The Mistake - Niemand ist perfekt</x:v>
      </x:c>
      <x:c r="E783" t="str">
        <x:v>Elle Kennedy</x:v>
      </x:c>
      <x:c r="F783" t="str">
        <x:v>Official #BookTok Top 20</x:v>
      </x:c>
      <x:c r="G783" t="str">
        <x:v>Media Control &amp; TikTok</x:v>
      </x:c>
      <x:c r="H783" t="n">
        <x:v>202607</x:v>
      </x:c>
      <x:c r="I783" t="str">
        <x:v>Complete</x:v>
      </x:c>
      <x:c r="J783" t="str">
        <x:v>Yes</x:v>
      </x:c>
    </x:row>
    <x:row r="784">
      <x:c r="A784" t="str">
        <x:v>2026-07</x:v>
      </x:c>
      <x:c r="B784" t="n">
        <x:v>16</x:v>
      </x:c>
      <x:c r="C784" t="str">
        <x:v>Die LET THEM Theorie</x:v>
      </x:c>
      <x:c r="D784" t="str">
        <x:v>Die LET THEM Theorie</x:v>
      </x:c>
      <x:c r="E784" t="str">
        <x:v>Mel Robbins, Sawyer Robbins</x:v>
      </x:c>
      <x:c r="F784" t="str">
        <x:v>Official #BookTok Top 20</x:v>
      </x:c>
      <x:c r="G784" t="str">
        <x:v>Media Control &amp; TikTok</x:v>
      </x:c>
      <x:c r="H784" t="n">
        <x:v>202607</x:v>
      </x:c>
      <x:c r="I784" t="str">
        <x:v>Complete</x:v>
      </x:c>
      <x:c r="J784" t="str">
        <x:v>Yes</x:v>
      </x:c>
    </x:row>
    <x:row r="785">
      <x:c r="A785" t="str">
        <x:v>2026-07</x:v>
      </x:c>
      <x:c r="B785" t="n">
        <x:v>17</x:v>
      </x:c>
      <x:c r="C785" t="str">
        <x:v>The Score - Mitten ins Herz</x:v>
      </x:c>
      <x:c r="D785" t="str">
        <x:v>The Score - Mitten ins Herz</x:v>
      </x:c>
      <x:c r="E785" t="str">
        <x:v>Elle Kennedy</x:v>
      </x:c>
      <x:c r="F785" t="str">
        <x:v>Official #BookTok Top 20</x:v>
      </x:c>
      <x:c r="G785" t="str">
        <x:v>Media Control &amp; TikTok</x:v>
      </x:c>
      <x:c r="H785" t="n">
        <x:v>202607</x:v>
      </x:c>
      <x:c r="I785" t="str">
        <x:v>Complete</x:v>
      </x:c>
      <x:c r="J785" t="str">
        <x:v>Yes</x:v>
      </x:c>
    </x:row>
    <x:row r="786">
      <x:c r="A786" t="str">
        <x:v>2026-07</x:v>
      </x:c>
      <x:c r="B786" t="n">
        <x:v>18</x:v>
      </x:c>
      <x:c r="C786" t="str">
        <x:v>Die Mitternachtsreise</x:v>
      </x:c>
      <x:c r="D786" t="str">
        <x:v>Die Mitternachtsreise</x:v>
      </x:c>
      <x:c r="E786" t="str">
        <x:v>Matt Haig</x:v>
      </x:c>
      <x:c r="F786" t="str">
        <x:v>Official #BookTok Top 20</x:v>
      </x:c>
      <x:c r="G786" t="str">
        <x:v>Media Control &amp; TikTok</x:v>
      </x:c>
      <x:c r="H786" t="n">
        <x:v>202607</x:v>
      </x:c>
      <x:c r="I786" t="str">
        <x:v>Complete</x:v>
      </x:c>
      <x:c r="J786" t="str">
        <x:v>Yes</x:v>
      </x:c>
    </x:row>
    <x:row r="787">
      <x:c r="A787" t="str">
        <x:v>2026-07</x:v>
      </x:c>
      <x:c r="B787" t="n">
        <x:v>19</x:v>
      </x:c>
      <x:c r="C787" t="str">
        <x:v>99 Mind Hacks</x:v>
      </x:c>
      <x:c r="D787" t="str">
        <x:v>99 Mind Hacks</x:v>
      </x:c>
      <x:c r="E787" t="str">
        <x:v>Timon Krause</x:v>
      </x:c>
      <x:c r="F787" t="str">
        <x:v>Official #BookTok Top 20</x:v>
      </x:c>
      <x:c r="G787" t="str">
        <x:v>Media Control &amp; TikTok</x:v>
      </x:c>
      <x:c r="H787" t="n">
        <x:v>202607</x:v>
      </x:c>
      <x:c r="I787" t="str">
        <x:v>Complete</x:v>
      </x:c>
      <x:c r="J787" t="str">
        <x:v>Yes</x:v>
      </x:c>
    </x:row>
    <x:row r="788">
      <x:c r="A788" t="str">
        <x:v>2026-07</x:v>
      </x:c>
      <x:c r="B788" t="n">
        <x:v>20</x:v>
      </x:c>
      <x:c r="C788" t="str">
        <x:v>Die Mitternachtsbibliothek</x:v>
      </x:c>
      <x:c r="D788" t="str">
        <x:v>Die Mitternachtsbibliothek</x:v>
      </x:c>
      <x:c r="E788" t="str">
        <x:v>Matt Haig</x:v>
      </x:c>
      <x:c r="F788" t="str">
        <x:v>Official #BookTok Top 20</x:v>
      </x:c>
      <x:c r="G788" t="str">
        <x:v>Media Control &amp; TikTok</x:v>
      </x:c>
      <x:c r="H788" t="n">
        <x:v>202607</x:v>
      </x:c>
      <x:c r="I788" t="str">
        <x:v>Complete</x:v>
      </x:c>
      <x:c r="J788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19" hidden="0" customWidth="1"/>
    <x:col min="4" max="4" width="25" hidden="0" customWidth="1"/>
    <x:col min="5" max="5" width="26" hidden="0" customWidth="1"/>
    <x:col min="6" max="6" width="19" hidden="0" customWidth="1"/>
    <x:col min="7" max="7" width="12" hidden="0" customWidth="1"/>
    <x:col min="8" max="8" width="22" hidden="0" customWidth="1"/>
    <x:col min="9" max="9" width="15" hidden="0" customWidth="1"/>
    <x:col min="10" max="10" width="13" hidden="0" customWidth="1"/>
    <x:col min="11" max="11" width="16" hidden="0" customWidth="1"/>
    <x:col min="12" max="12" width="52" hidden="0" customWidth="1"/>
    <x:col min="13" max="13" width="30" hidden="0" customWidth="1"/>
    <x:col min="14" max="14" width="22" hidden="0" customWidth="1"/>
    <x:col min="15" max="15" width="58" hidden="0" customWidth="1"/>
  </x:cols>
  <x:sheetData>
    <x:row r="1">
      <x:c r="A1" s="29" t="str">
        <x:v>title</x:v>
      </x:c>
      <x:c r="B1" s="29" t="str">
        <x:v>author</x:v>
      </x:c>
      <x:c r="C1" s="29" t="str">
        <x:v>isbn_13</x:v>
      </x:c>
      <x:c r="D1" s="29" t="str">
        <x:v>publisher</x:v>
      </x:c>
      <x:c r="E1" s="29" t="str">
        <x:v>genre</x:v>
      </x:c>
      <x:c r="F1" s="29" t="str">
        <x:v>publication_date_de</x:v>
      </x:c>
      <x:c r="G1" s="29" t="str">
        <x:v>price_eur</x:v>
      </x:c>
      <x:c r="H1" s="29" t="str">
        <x:v>format</x:v>
      </x:c>
      <x:c r="I1" s="29" t="str">
        <x:v>series_status</x:v>
      </x:c>
      <x:c r="J1" s="29" t="str">
        <x:v>series_number</x:v>
      </x:c>
      <x:c r="K1" s="29" t="str">
        <x:v>self_published</x:v>
      </x:c>
      <x:c r="L1" s="29" t="str">
        <x:v>metadata_source_url</x:v>
      </x:c>
      <x:c r="M1" s="29" t="str">
        <x:v>series_name</x:v>
      </x:c>
      <x:c r="N1" s="29" t="str">
        <x:v>metadata_status</x:v>
      </x:c>
      <x:c r="O1" s="29" t="str">
        <x:v>coding_note</x:v>
      </x:c>
    </x:row>
    <x:row r="2">
      <x:c r="A2" s="11" t="str">
        <x:v>Just for the Summer</x:v>
      </x:c>
      <x:c r="B2" s="11" t="str">
        <x:v>Abby Jimenez</x:v>
      </x:c>
      <x:c r="C2" s="11" t="str">
        <x:v>978-3-423-26428-0</x:v>
      </x:c>
      <x:c r="D2" s="11" t="str">
        <x:v>dtv</x:v>
      </x:c>
      <x:c r="E2" s="11" t="str">
        <x:v>Romance / Contemporary</x:v>
      </x:c>
      <x:c r="F2" s="11" t="str">
        <x:v>2025-05-15</x:v>
      </x:c>
      <x:c r="G2" s="14" t="n">
        <x:v>16</x:v>
      </x:c>
      <x:c r="H2" s="11" t="str">
        <x:v>Paperback</x:v>
      </x:c>
      <x:c r="I2" s="11" t="str">
        <x:v>No</x:v>
      </x:c>
      <x:c r="J2" s="11"/>
      <x:c r="K2" s="11" t="str">
        <x:v>No</x:v>
      </x:c>
      <x:c r="L2" s="11" t="str">
        <x:v>https://www.dtv.de/buch/just-for-the-summer-26428</x:v>
      </x:c>
      <x:c r="M2" s="11"/>
      <x:c r="N2" s="11" t="str">
        <x:v>Full verified</x:v>
      </x:c>
      <x:c r="O2" s="11" t="str">
        <x:v>Relevant chart-era edition used; broad genre standardized for analysis.</x:v>
      </x:c>
    </x:row>
    <x:row r="3">
      <x:c r="A3" s="11" t="str">
        <x:v>The Games Gods Play - Schattenverführt</x:v>
      </x:c>
      <x:c r="B3" s="11" t="str">
        <x:v>Abigail Owen</x:v>
      </x:c>
      <x:c r="C3" s="11" t="str">
        <x:v>978-3-423-28428-8</x:v>
      </x:c>
      <x:c r="D3" s="11" t="str">
        <x:v>dtv</x:v>
      </x:c>
      <x:c r="E3" s="11" t="str">
        <x:v>Fantasy / Romantasy</x:v>
      </x:c>
      <x:c r="F3" s="11" t="str">
        <x:v>2024-10-17</x:v>
      </x:c>
      <x:c r="G3" s="14" t="n">
        <x:v>25</x:v>
      </x:c>
      <x:c r="H3" s="11" t="str">
        <x:v>Hardcover</x:v>
      </x:c>
      <x:c r="I3" s="11" t="str">
        <x:v>Yes</x:v>
      </x:c>
      <x:c r="J3" s="11" t="n">
        <x:v>1</x:v>
      </x:c>
      <x:c r="K3" s="11" t="str">
        <x:v>No</x:v>
      </x:c>
      <x:c r="L3" s="11" t="str">
        <x:v>https://www.dtv.de/buch/the-games-gods-play-schattenverfuehrt-28428</x:v>
      </x:c>
      <x:c r="M3" s="11" t="str">
        <x:v>The Crucible</x:v>
      </x:c>
      <x:c r="N3" s="11" t="str">
        <x:v>Full verified</x:v>
      </x:c>
      <x:c r="O3" s="11" t="str">
        <x:v>Relevant German edition used; broad genre standardized for analysis.</x:v>
      </x:c>
    </x:row>
    <x:row r="4">
      <x:c r="A4" s="11" t="str">
        <x:v>Belladonna - Die Berührung des Todes</x:v>
      </x:c>
      <x:c r="B4" s="11" t="str">
        <x:v>Adalyn Grace</x:v>
      </x:c>
      <x:c r="C4" s="11" t="str">
        <x:v>978-3-8458-5691-9</x:v>
      </x:c>
      <x:c r="D4" s="11" t="str">
        <x:v>arsEdition</x:v>
      </x:c>
      <x:c r="E4" s="11" t="str">
        <x:v>Fantasy / YA</x:v>
      </x:c>
      <x:c r="F4" s="11" t="str">
        <x:v>2024-01-05</x:v>
      </x:c>
      <x:c r="G4" s="14" t="n">
        <x:v>18</x:v>
      </x:c>
      <x:c r="H4" s="11" t="str">
        <x:v>Softcover</x:v>
      </x:c>
      <x:c r="I4" s="11" t="str">
        <x:v>Yes</x:v>
      </x:c>
      <x:c r="J4" s="11" t="n">
        <x:v>1</x:v>
      </x:c>
      <x:c r="K4" s="11" t="str">
        <x:v>No</x:v>
      </x:c>
      <x:c r="L4" s="11" t="str">
        <x:v>https://www.arsedition.de/produkt/belladonna-die-beruehrung-des-todes-isbn-97...</x:v>
      </x:c>
      <x:c r="M4" s="11" t="str">
        <x:v>Belladonna</x:v>
      </x:c>
      <x:c r="N4" s="11" t="str">
        <x:v>Full verified</x:v>
      </x:c>
      <x:c r="O4" s="11" t="str">
        <x:v>Relevant German edition used; broad genre standardized for analysis.</x:v>
      </x:c>
    </x:row>
    <x:row r="5">
      <x:c r="A5" s="11" t="str">
        <x:v>Wisteria - Die Liebe des Todes</x:v>
      </x:c>
      <x:c r="B5" s="11" t="str">
        <x:v>Adalyn Grace</x:v>
      </x:c>
      <x:c r="C5" s="11" t="str">
        <x:v>978-3-8458-5706-0</x:v>
      </x:c>
      <x:c r="D5" s="11" t="str">
        <x:v>arsEdition</x:v>
      </x:c>
      <x:c r="E5" s="11" t="str">
        <x:v>Fantasy / YA</x:v>
      </x:c>
      <x:c r="F5" s="11" t="str">
        <x:v>2025-01-27</x:v>
      </x:c>
      <x:c r="G5" s="14" t="n">
        <x:v>18</x:v>
      </x:c>
      <x:c r="H5" s="11" t="str">
        <x:v>Softcover</x:v>
      </x:c>
      <x:c r="I5" s="11" t="str">
        <x:v>Yes</x:v>
      </x:c>
      <x:c r="J5" s="11" t="n">
        <x:v>3</x:v>
      </x:c>
      <x:c r="K5" s="11" t="str">
        <x:v>No</x:v>
      </x:c>
      <x:c r="L5" s="11" t="str">
        <x:v>https://www.arsedition.de/fileadmin/arsEdition/downloads/Vorschaukataloge/Young-__New_Adult_Vorschau_Online_25H.pdf</x:v>
      </x:c>
      <x:c r="M5" s="11" t="str">
        <x:v>Belladonna</x:v>
      </x:c>
      <x:c r="N5" s="11" t="str">
        <x:v>Full verified</x:v>
      </x:c>
      <x:c r="O5" s="11" t="str">
        <x:v>Relevant chart-era edition used; broad genre standardized for analysis.</x:v>
      </x:c>
    </x:row>
    <x:row r="6">
      <x:c r="A6" s="11" t="str">
        <x:v>Bride - Die unergründliche Übernatürlichkeit der Liebe</x:v>
      </x:c>
      <x:c r="B6" s="11" t="str">
        <x:v>Ali Hazelwood</x:v>
      </x:c>
      <x:c r="C6" s="11" t="str">
        <x:v>978-3-352-00997-6</x:v>
      </x:c>
      <x:c r="D6" s="11" t="str">
        <x:v>Rütten &amp; Loening / Aufbau</x:v>
      </x:c>
      <x:c r="E6" s="11" t="str">
        <x:v>Fantasy / Romantasy</x:v>
      </x:c>
      <x:c r="F6" s="11" t="str">
        <x:v>2024-02-14</x:v>
      </x:c>
      <x:c r="G6" s="14" t="n">
        <x:v>16.99</x:v>
      </x:c>
      <x:c r="H6" s="11" t="str">
        <x:v>Klappenbroschur</x:v>
      </x:c>
      <x:c r="I6" s="11" t="str">
        <x:v>No</x:v>
      </x:c>
      <x:c r="J6" s="11"/>
      <x:c r="K6" s="11" t="str">
        <x:v>No</x:v>
      </x:c>
      <x:c r="L6" s="11" t="str">
        <x:v>https://www.aufbau-verlage.de/download/13581</x:v>
      </x:c>
      <x:c r="M6" s="11"/>
      <x:c r="N6" s="11" t="str">
        <x:v>Full verified</x:v>
      </x:c>
      <x:c r="O6" s="11" t="str">
        <x:v>Relevant German edition used; broad genre standardized for analysis.</x:v>
      </x:c>
    </x:row>
    <x:row r="7">
      <x:c r="A7" s="11" t="str">
        <x:v>Deep End - Die unausweichliche Unanständigkeit von Liebe</x:v>
      </x:c>
      <x:c r="B7" s="11" t="str">
        <x:v>Ali Hazelwood</x:v>
      </x:c>
      <x:c r="C7" s="11" t="str">
        <x:v>978-3-352-01008-8</x:v>
      </x:c>
      <x:c r="D7" s="11" t="str">
        <x:v>Rütten &amp; Loening</x:v>
      </x:c>
      <x:c r="E7" s="11" t="str">
        <x:v>Romance / New Adult</x:v>
      </x:c>
      <x:c r="F7" s="11" t="str">
        <x:v>2025-02-04</x:v>
      </x:c>
      <x:c r="G7" s="14" t="n">
        <x:v>16.99</x:v>
      </x:c>
      <x:c r="H7" s="11" t="str">
        <x:v>Klappenbroschur</x:v>
      </x:c>
      <x:c r="I7" s="11" t="str">
        <x:v>No</x:v>
      </x:c>
      <x:c r="J7" s="11"/>
      <x:c r="K7" s="11" t="str">
        <x:v>No</x:v>
      </x:c>
      <x:c r="L7" s="11" t="str">
        <x:v>https://www.aufbau-verlage.de/ruetten-loening/deep-end-die-unausweichliche-unanstandigkeit-von-liebe/978-3-352-01008-8</x:v>
      </x:c>
      <x:c r="M7" s="11"/>
      <x:c r="N7" s="11" t="str">
        <x:v>Full verified</x:v>
      </x:c>
      <x:c r="O7" s="11" t="str">
        <x:v>Relevant chart-era edition used; broad genre standardized for analysis.</x:v>
      </x:c>
    </x:row>
    <x:row r="8">
      <x:c r="A8" s="11" t="str">
        <x:v>Mate - Die unzumutbare Unmöglichkeit von Liebe</x:v>
      </x:c>
      <x:c r="B8" s="11" t="str">
        <x:v>Ali Hazelwood</x:v>
      </x:c>
      <x:c r="C8" s="11" t="str">
        <x:v>978-3-352-01017-0</x:v>
      </x:c>
      <x:c r="D8" s="11" t="str">
        <x:v>Rütten &amp; Loening / Aufbau</x:v>
      </x:c>
      <x:c r="E8" s="11" t="str">
        <x:v>Fantasy / Romance</x:v>
      </x:c>
      <x:c r="F8" s="11" t="str">
        <x:v>2025-10-07</x:v>
      </x:c>
      <x:c r="G8" s="14"/>
      <x:c r="H8" s="11" t="str">
        <x:v>Klappenbroschur</x:v>
      </x:c>
      <x:c r="I8" s="11" t="str">
        <x:v>No</x:v>
      </x:c>
      <x:c r="J8" s="11"/>
      <x:c r="K8" s="11" t="str">
        <x:v>No</x:v>
      </x:c>
      <x:c r="L8" s="11" t="str">
        <x:v>https://www.aufbau-verlage.de/</x:v>
      </x:c>
      <x:c r="M8" s="11"/>
      <x:c r="N8" s="11" t="str">
        <x:v>Core verified</x:v>
      </x:c>
      <x:c r="O8" s="11" t="str">
        <x:v>Relevant chart-era edition used; broad genre standardized for analysis.</x:v>
      </x:c>
    </x:row>
    <x:row r="9">
      <x:c r="A9" s="11" t="str">
        <x:v>Problematic Summer Romance - Die hitzige Unzulässigkeit der Liebe</x:v>
      </x:c>
      <x:c r="B9" s="11" t="str">
        <x:v>Ali Hazelwood</x:v>
      </x:c>
      <x:c r="C9" s="11" t="str">
        <x:v>978-3-352-01025-5</x:v>
      </x:c>
      <x:c r="D9" s="11" t="str">
        <x:v>Rütten &amp; Loening / Aufbau</x:v>
      </x:c>
      <x:c r="E9" s="11" t="str">
        <x:v>Romance / Contemporary</x:v>
      </x:c>
      <x:c r="F9" s="11" t="str">
        <x:v>2025-06-10</x:v>
      </x:c>
      <x:c r="G9" s="14" t="n">
        <x:v>18</x:v>
      </x:c>
      <x:c r="H9" s="11" t="str">
        <x:v>Klappenbroschur</x:v>
      </x:c>
      <x:c r="I9" s="11" t="str">
        <x:v>No</x:v>
      </x:c>
      <x:c r="J9" s="11"/>
      <x:c r="K9" s="11" t="str">
        <x:v>No</x:v>
      </x:c>
      <x:c r="L9" s="11" t="str">
        <x:v>https://www.aufbau-verlage.de/</x:v>
      </x:c>
      <x:c r="M9" s="11"/>
      <x:c r="N9" s="11" t="str">
        <x:v>Full verified</x:v>
      </x:c>
      <x:c r="O9" s="11" t="str">
        <x:v>Relevant chart-era edition used; broad genre standardized for analysis.</x:v>
      </x:c>
    </x:row>
    <x:row r="10">
      <x:c r="A10" s="11" t="str">
        <x:v>Two Can Play - Die spielerische Weiterentwicklung von Liebe</x:v>
      </x:c>
      <x:c r="B10" s="11" t="str">
        <x:v>Ali Hazelwood</x:v>
      </x:c>
      <x:c r="C10" s="11" t="str">
        <x:v>978-3-352-01030-9</x:v>
      </x:c>
      <x:c r="D10" s="11" t="str">
        <x:v>Rütten &amp; Loening</x:v>
      </x:c>
      <x:c r="E10" s="11" t="str">
        <x:v>Romance / Contemporary</x:v>
      </x:c>
      <x:c r="F10" s="11" t="str">
        <x:v>2026-02-11</x:v>
      </x:c>
      <x:c r="G10" s="14" t="n">
        <x:v>16</x:v>
      </x:c>
      <x:c r="H10" s="11" t="str">
        <x:v>Klappenbroschur</x:v>
      </x:c>
      <x:c r="I10" s="11" t="str">
        <x:v>No</x:v>
      </x:c>
      <x:c r="J10" s="11"/>
      <x:c r="K10" s="11" t="str">
        <x:v>No</x:v>
      </x:c>
      <x:c r="L10" s="11" t="str">
        <x:v>https://www.aufbau-verlage.de/ruetten-loening/two-can-play-die-spielerische-weiterentwicklung-von-liebe/978-3-352-01030-9</x:v>
      </x:c>
      <x:c r="M10" s="11"/>
      <x:c r="N10" s="11" t="str">
        <x:v>Full verified</x:v>
      </x:c>
      <x:c r="O10" s="11" t="str">
        <x:v>Relevant chart-era edition used; broad genre standardized for analysis.</x:v>
      </x:c>
    </x:row>
    <x:row r="11">
      <x:c r="A11" s="11" t="str">
        <x:v>Heartstopper Volume 6</x:v>
      </x:c>
      <x:c r="B11" s="11" t="str">
        <x:v>Alice Oseman</x:v>
      </x:c>
      <x:c r="C11" s="11" t="str">
        <x:v>978-3-7432-1834-5</x:v>
      </x:c>
      <x:c r="D11" s="11" t="str">
        <x:v>Loewe</x:v>
      </x:c>
      <x:c r="E11" s="11" t="str">
        <x:v>YA Graphic Novel / LGBTQ+</x:v>
      </x:c>
      <x:c r="F11" s="11" t="str">
        <x:v>2026-07-23</x:v>
      </x:c>
      <x:c r="G11" s="14" t="n">
        <x:v>20</x:v>
      </x:c>
      <x:c r="H11" s="11" t="str">
        <x:v>Hardcover</x:v>
      </x:c>
      <x:c r="I11" s="11" t="str">
        <x:v>Yes</x:v>
      </x:c>
      <x:c r="J11" s="11" t="n">
        <x:v>6</x:v>
      </x:c>
      <x:c r="K11" s="11" t="str">
        <x:v>No</x:v>
      </x:c>
      <x:c r="L11" s="11" t="str">
        <x:v>https://www.loewe-verlag.de/heartstopper-volume-6-deutsche-hardcover-ausgabe/38083</x:v>
      </x:c>
      <x:c r="M11" s="11" t="str">
        <x:v>Heartstopper</x:v>
      </x:c>
      <x:c r="N11" s="11" t="str">
        <x:v>Full verified</x:v>
      </x:c>
      <x:c r="O11" s="11" t="str">
        <x:v>Relevant chart-era edition used; broad genre standardized for analysis.</x:v>
      </x:c>
    </x:row>
    <x:row r="12">
      <x:c r="A12" s="11" t="str">
        <x:v>King of Envy</x:v>
      </x:c>
      <x:c r="B12" s="11" t="str">
        <x:v>Ana Huang</x:v>
      </x:c>
      <x:c r="C12" s="11" t="str">
        <x:v>978-3-7363-2556-2</x:v>
      </x:c>
      <x:c r="D12" s="11" t="str">
        <x:v>LYX</x:v>
      </x:c>
      <x:c r="E12" s="11" t="str">
        <x:v>Romance / New Adult</x:v>
      </x:c>
      <x:c r="F12" s="11" t="str">
        <x:v>2025-10-31</x:v>
      </x:c>
      <x:c r="G12" s="14" t="n">
        <x:v>16</x:v>
      </x:c>
      <x:c r="H12" s="11" t="str">
        <x:v>Paperback</x:v>
      </x:c>
      <x:c r="I12" s="11" t="str">
        <x:v>Yes</x:v>
      </x:c>
      <x:c r="J12" s="11" t="n">
        <x:v>5</x:v>
      </x:c>
      <x:c r="K12" s="11" t="str">
        <x:v>No</x:v>
      </x:c>
      <x:c r="L12" s="11" t="str">
        <x:v>https://lyx-verlag.de/Buecher/Romance/King-of-Envy/9783736325562</x:v>
      </x:c>
      <x:c r="M12" s="11" t="str">
        <x:v>Kings of Sin</x:v>
      </x:c>
      <x:c r="N12" s="11" t="str">
        <x:v>Edition ambiguous</x:v>
      </x:c>
      <x:c r="O12" s="11" t="str">
        <x:v>German print edition is Oct 2025, while the title appeared in the May 2025 chart; the May chart likely reflects an imported English edition.</x:v>
      </x:c>
    </x:row>
    <x:row r="13">
      <x:c r="A13" s="11" t="str">
        <x:v>King of Gluttony</x:v>
      </x:c>
      <x:c r="B13" s="11" t="str">
        <x:v>Ana Huang</x:v>
      </x:c>
      <x:c r="C13" s="11" t="str">
        <x:v>978-3-7363-2843-3</x:v>
      </x:c>
      <x:c r="D13" s="11" t="str">
        <x:v>LYX</x:v>
      </x:c>
      <x:c r="E13" s="11" t="str">
        <x:v>Romance / New Adult</x:v>
      </x:c>
      <x:c r="F13" s="11" t="str">
        <x:v>2026-11-02</x:v>
      </x:c>
      <x:c r="G13" s="14"/>
      <x:c r="H13" s="11" t="str">
        <x:v>Paperback</x:v>
      </x:c>
      <x:c r="I13" s="11" t="str">
        <x:v>Yes</x:v>
      </x:c>
      <x:c r="J13" s="11" t="n">
        <x:v>6</x:v>
      </x:c>
      <x:c r="K13" s="11" t="str">
        <x:v>No</x:v>
      </x:c>
      <x:c r="L13" s="11" t="str">
        <x:v>https://www.thalia.de/shop/home/artikeldetails/A1078892726</x:v>
      </x:c>
      <x:c r="M13" s="11" t="str">
        <x:v>Kings of Sin</x:v>
      </x:c>
      <x:c r="N13" s="11" t="str">
        <x:v>Edition ambiguous</x:v>
      </x:c>
      <x:c r="O13" s="11" t="str">
        <x:v>The German print edition is dated 02.11.2026, after the April/May 2026 chart appearances; those chart entries likely reflect an English/import edition.</x:v>
      </x:c>
    </x:row>
    <x:row r="14">
      <x:c r="A14" s="11" t="str">
        <x:v>King of Greed</x:v>
      </x:c>
      <x:c r="B14" s="11" t="str">
        <x:v>Ana Huang</x:v>
      </x:c>
      <x:c r="C14" s="11" t="str">
        <x:v>978-3-7363-2231-8</x:v>
      </x:c>
      <x:c r="D14" s="11" t="str">
        <x:v>LYX</x:v>
      </x:c>
      <x:c r="E14" s="11" t="str">
        <x:v>Romance / New Adult</x:v>
      </x:c>
      <x:c r="F14" s="11" t="str">
        <x:v>2024-05-31</x:v>
      </x:c>
      <x:c r="G14" s="14" t="n">
        <x:v>16</x:v>
      </x:c>
      <x:c r="H14" s="11" t="str">
        <x:v>Paperback</x:v>
      </x:c>
      <x:c r="I14" s="11" t="str">
        <x:v>Yes</x:v>
      </x:c>
      <x:c r="J14" s="11" t="n">
        <x:v>3</x:v>
      </x:c>
      <x:c r="K14" s="11" t="str">
        <x:v>No</x:v>
      </x:c>
      <x:c r="L14" s="11" t="str">
        <x:v>https://www.hugendubel.de/de/buch_kartoniert/ana_huang-king_of_greed-47070433...</x:v>
      </x:c>
      <x:c r="M14" s="11" t="str">
        <x:v>Kings of Sin</x:v>
      </x:c>
      <x:c r="N14" s="11" t="str">
        <x:v>Full verified</x:v>
      </x:c>
      <x:c r="O14" s="11" t="str">
        <x:v>Relevant German edition used; broad genre standardized for analysis.</x:v>
      </x:c>
    </x:row>
    <x:row r="15">
      <x:c r="A15" s="11" t="str">
        <x:v>King of Sloth</x:v>
      </x:c>
      <x:c r="B15" s="11" t="str">
        <x:v>Ana Huang</x:v>
      </x:c>
      <x:c r="C15" s="11" t="str">
        <x:v>978-3-7363-2354-4</x:v>
      </x:c>
      <x:c r="D15" s="11" t="str">
        <x:v>LYX</x:v>
      </x:c>
      <x:c r="E15" s="11" t="str">
        <x:v>Romance / New Adult</x:v>
      </x:c>
      <x:c r="F15" s="11" t="str">
        <x:v>2024-10-25</x:v>
      </x:c>
      <x:c r="G15" s="14" t="n">
        <x:v>16</x:v>
      </x:c>
      <x:c r="H15" s="11" t="str">
        <x:v>Paperback</x:v>
      </x:c>
      <x:c r="I15" s="11" t="str">
        <x:v>Yes</x:v>
      </x:c>
      <x:c r="J15" s="11" t="n">
        <x:v>4</x:v>
      </x:c>
      <x:c r="K15" s="11" t="str">
        <x:v>No</x:v>
      </x:c>
      <x:c r="L15" s="11" t="str">
        <x:v>https://lyx-verlag.de/Buecher/Romance/King-of-Sloth/9783736323544</x:v>
      </x:c>
      <x:c r="M15" s="11" t="str">
        <x:v>Kings of Sin</x:v>
      </x:c>
      <x:c r="N15" s="11" t="str">
        <x:v>Full verified</x:v>
      </x:c>
      <x:c r="O15" s="11" t="str">
        <x:v>Relevant German edition used; broad genre standardized for analysis.</x:v>
      </x:c>
    </x:row>
    <x:row r="16">
      <x:c r="A16" s="11" t="str">
        <x:v>King of Wrath</x:v>
      </x:c>
      <x:c r="B16" s="11" t="str">
        <x:v>Ana Huang</x:v>
      </x:c>
      <x:c r="C16" s="11" t="str">
        <x:v>978-3-7363-2080-2</x:v>
      </x:c>
      <x:c r="D16" s="11" t="str">
        <x:v>LYX</x:v>
      </x:c>
      <x:c r="E16" s="11" t="str">
        <x:v>Romance / New Adult</x:v>
      </x:c>
      <x:c r="F16" s="11" t="str">
        <x:v>2023-10-27</x:v>
      </x:c>
      <x:c r="G16" s="14" t="n">
        <x:v>16</x:v>
      </x:c>
      <x:c r="H16" s="11" t="str">
        <x:v>Paperback</x:v>
      </x:c>
      <x:c r="I16" s="11" t="str">
        <x:v>Yes</x:v>
      </x:c>
      <x:c r="J16" s="11" t="n">
        <x:v>1</x:v>
      </x:c>
      <x:c r="K16" s="11" t="str">
        <x:v>No</x:v>
      </x:c>
      <x:c r="L16" s="11" t="str">
        <x:v>https://bookcircle.thalia.de/work/91358/145921</x:v>
      </x:c>
      <x:c r="M16" s="11" t="str">
        <x:v>Kings of Sin</x:v>
      </x:c>
      <x:c r="N16" s="11" t="str">
        <x:v>Full verified</x:v>
      </x:c>
      <x:c r="O16" s="11" t="str">
        <x:v>Genre is a standardized analytical category for this project.</x:v>
      </x:c>
    </x:row>
    <x:row r="17">
      <x:c r="A17" s="11" t="str">
        <x:v>Twisted Dreams</x:v>
      </x:c>
      <x:c r="B17" s="11" t="str">
        <x:v>Ana Huang</x:v>
      </x:c>
      <x:c r="C17" s="11" t="str">
        <x:v>978-3-7363-1912-7</x:v>
      </x:c>
      <x:c r="D17" s="11" t="str">
        <x:v>LYX</x:v>
      </x:c>
      <x:c r="E17" s="11" t="str">
        <x:v>Romance / New Adult</x:v>
      </x:c>
      <x:c r="F17" s="11"/>
      <x:c r="G17" s="14" t="n">
        <x:v>16</x:v>
      </x:c>
      <x:c r="H17" s="11" t="str">
        <x:v>Paperback</x:v>
      </x:c>
      <x:c r="I17" s="11" t="str">
        <x:v>Yes</x:v>
      </x:c>
      <x:c r="J17" s="11" t="n">
        <x:v>1</x:v>
      </x:c>
      <x:c r="K17" s="11" t="str">
        <x:v>No</x:v>
      </x:c>
      <x:c r="L17" s="11" t="str">
        <x:v>https://lyx-verlag.de/Buecher/Romance/Twisted-Dreams/9783736319127</x:v>
      </x:c>
      <x:c r="M17" s="11" t="str">
        <x:v>Twisted</x:v>
      </x:c>
      <x:c r="N17" s="11" t="str">
        <x:v>Core verified</x:v>
      </x:c>
      <x:c r="O17" s="11" t="str">
        <x:v>Genre is a standardized analytical category for this project.</x:v>
      </x:c>
    </x:row>
    <x:row r="18">
      <x:c r="A18" s="11" t="str">
        <x:v>Twisted Games</x:v>
      </x:c>
      <x:c r="B18" s="11" t="str">
        <x:v>Ana Huang</x:v>
      </x:c>
      <x:c r="C18" s="11" t="str">
        <x:v>978-3-7363-1922-6</x:v>
      </x:c>
      <x:c r="D18" s="11" t="str">
        <x:v>LYX</x:v>
      </x:c>
      <x:c r="E18" s="11" t="str">
        <x:v>Romance / New Adult</x:v>
      </x:c>
      <x:c r="F18" s="11"/>
      <x:c r="G18" s="14" t="n">
        <x:v>16</x:v>
      </x:c>
      <x:c r="H18" s="11" t="str">
        <x:v>Paperback</x:v>
      </x:c>
      <x:c r="I18" s="11" t="str">
        <x:v>Yes</x:v>
      </x:c>
      <x:c r="J18" s="11" t="n">
        <x:v>2</x:v>
      </x:c>
      <x:c r="K18" s="11" t="str">
        <x:v>No</x:v>
      </x:c>
      <x:c r="L18" s="11" t="str">
        <x:v>https://lyx-verlag.de/Buecher/Romance/Twisted-Games/9783736319226</x:v>
      </x:c>
      <x:c r="M18" s="11" t="str">
        <x:v>Twisted</x:v>
      </x:c>
      <x:c r="N18" s="11" t="str">
        <x:v>Core verified</x:v>
      </x:c>
      <x:c r="O18" s="11" t="str">
        <x:v>Genre is a standardized analytical category for this project.</x:v>
      </x:c>
    </x:row>
    <x:row r="19">
      <x:c r="A19" s="11" t="str">
        <x:v>Twisted Hate</x:v>
      </x:c>
      <x:c r="B19" s="11" t="str">
        <x:v>Ana Huang</x:v>
      </x:c>
      <x:c r="C19" s="11" t="str">
        <x:v>978-3-7363-1982-0</x:v>
      </x:c>
      <x:c r="D19" s="11" t="str">
        <x:v>LYX</x:v>
      </x:c>
      <x:c r="E19" s="11" t="str">
        <x:v>Romance / New Adult</x:v>
      </x:c>
      <x:c r="F19" s="11"/>
      <x:c r="G19" s="14" t="n">
        <x:v>16</x:v>
      </x:c>
      <x:c r="H19" s="11" t="str">
        <x:v>Paperback</x:v>
      </x:c>
      <x:c r="I19" s="11" t="str">
        <x:v>Yes</x:v>
      </x:c>
      <x:c r="J19" s="11" t="n">
        <x:v>3</x:v>
      </x:c>
      <x:c r="K19" s="11" t="str">
        <x:v>No</x:v>
      </x:c>
      <x:c r="L19" s="11" t="str">
        <x:v>https://lyx-verlag.de/Buecher/Romance/Twisted-Hate/9783736319820</x:v>
      </x:c>
      <x:c r="M19" s="11" t="str">
        <x:v>Twisted</x:v>
      </x:c>
      <x:c r="N19" s="11" t="str">
        <x:v>Core verified</x:v>
      </x:c>
      <x:c r="O19" s="11" t="str">
        <x:v>Genre is a standardized analytical category for this project.</x:v>
      </x:c>
    </x:row>
    <x:row r="20">
      <x:c r="A20" s="11" t="str">
        <x:v>Twisted Lies</x:v>
      </x:c>
      <x:c r="B20" s="11" t="str">
        <x:v>Ana Huang</x:v>
      </x:c>
      <x:c r="C20" s="11" t="str">
        <x:v>978-3-7363-2072-7</x:v>
      </x:c>
      <x:c r="D20" s="11" t="str">
        <x:v>LYX</x:v>
      </x:c>
      <x:c r="E20" s="11" t="str">
        <x:v>Romance / New Adult</x:v>
      </x:c>
      <x:c r="F20" s="11"/>
      <x:c r="G20" s="14" t="n">
        <x:v>16</x:v>
      </x:c>
      <x:c r="H20" s="11" t="str">
        <x:v>Paperback</x:v>
      </x:c>
      <x:c r="I20" s="11" t="str">
        <x:v>Yes</x:v>
      </x:c>
      <x:c r="J20" s="11" t="n">
        <x:v>4</x:v>
      </x:c>
      <x:c r="K20" s="11" t="str">
        <x:v>No</x:v>
      </x:c>
      <x:c r="L20" s="11" t="str">
        <x:v>https://lyx-verlag.de/Buecher/Romance/Twisted-Lies/9783736320727</x:v>
      </x:c>
      <x:c r="M20" s="11" t="str">
        <x:v>Twisted</x:v>
      </x:c>
      <x:c r="N20" s="11" t="str">
        <x:v>Core verified</x:v>
      </x:c>
      <x:c r="O20" s="11" t="str">
        <x:v>Genre is a standardized analytical category for this project.</x:v>
      </x:c>
    </x:row>
    <x:row r="21">
      <x:c r="A21" s="11" t="str">
        <x:v>Moorland. Die Zwillinge</x:v>
      </x:c>
      <x:c r="B21" s="11" t="str">
        <x:v>Andreas Winkelmann</x:v>
      </x:c>
      <x:c r="C21" s="11" t="str">
        <x:v>978-3-426-56469-1</x:v>
      </x:c>
      <x:c r="D21" s="11" t="str">
        <x:v>Knaur TB</x:v>
      </x:c>
      <x:c r="E21" s="11" t="str">
        <x:v>Thriller / Suspense</x:v>
      </x:c>
      <x:c r="F21" s="11" t="str">
        <x:v>2026-03-02</x:v>
      </x:c>
      <x:c r="G21" s="14" t="n">
        <x:v>14</x:v>
      </x:c>
      <x:c r="H21" s="11" t="str">
        <x:v>Paperback</x:v>
      </x:c>
      <x:c r="I21" s="11" t="str">
        <x:v>Yes</x:v>
      </x:c>
      <x:c r="J21" s="11" t="n">
        <x:v>1</x:v>
      </x:c>
      <x:c r="K21" s="11" t="str">
        <x:v>No</x:v>
      </x:c>
      <x:c r="L21" s="11" t="str">
        <x:v>https://www.droemer-knaur.de/buch/andreas-winkelmann-moorland-die-zwillinge-9783426564691</x:v>
      </x:c>
      <x:c r="M21" s="11" t="str">
        <x:v>Moorland</x:v>
      </x:c>
      <x:c r="N21" s="11" t="str">
        <x:v>Full verified</x:v>
      </x:c>
      <x:c r="O21" s="11" t="str">
        <x:v>Relevant chart-era edition used; broad genre standardized for analysis.</x:v>
      </x:c>
    </x:row>
    <x:row r="22">
      <x:c r="A22" s="11" t="str">
        <x:v>Der Dorfladen - Wie das Schicksal spielt</x:v>
      </x:c>
      <x:c r="B22" s="11" t="str">
        <x:v>Anne Jacobs</x:v>
      </x:c>
      <x:c r="C22" s="11" t="str">
        <x:v>978-3-7645-0847-0</x:v>
      </x:c>
      <x:c r="D22" s="11" t="str">
        <x:v>Blanvalet</x:v>
      </x:c>
      <x:c r="E22" s="11" t="str">
        <x:v>Historical / Contemporary Fiction</x:v>
      </x:c>
      <x:c r="F22" s="11" t="str">
        <x:v>2025-11-12</x:v>
      </x:c>
      <x:c r="G22" s="14"/>
      <x:c r="H22" s="11" t="str">
        <x:v>Paperback</x:v>
      </x:c>
      <x:c r="I22" s="11" t="str">
        <x:v>Yes</x:v>
      </x:c>
      <x:c r="J22" s="11" t="n">
        <x:v>3</x:v>
      </x:c>
      <x:c r="K22" s="11" t="str">
        <x:v>No</x:v>
      </x:c>
      <x:c r="L22" s="11" t="str">
        <x:v>https://www.thalia.de/shop/home/artikeldetails/A1075680139</x:v>
      </x:c>
      <x:c r="M22" s="11" t="str">
        <x:v>Der Dorfladen</x:v>
      </x:c>
      <x:c r="N22" s="11" t="str">
        <x:v>Full verified</x:v>
      </x:c>
      <x:c r="O22" s="11" t="str">
        <x:v>Relevant chart-era edition used; broad genre standardized for analysis.</x:v>
      </x:c>
    </x:row>
    <x:row r="23">
      <x:c r="A23" s="11" t="str">
        <x:v>Dark Venice. Deep Water (Dark Venice 1)</x:v>
      </x:c>
      <x:c r="B23" s="11" t="str">
        <x:v>Antonia Wesseling</x:v>
      </x:c>
      <x:c r="C23" s="11" t="str">
        <x:v>978-3-95818-788-7</x:v>
      </x:c>
      <x:c r="D23" s="11" t="str">
        <x:v>Forever / Ullstein</x:v>
      </x:c>
      <x:c r="E23" s="11" t="str">
        <x:v>Romance / New Adult</x:v>
      </x:c>
      <x:c r="F23" s="11" t="str">
        <x:v>2024-10-17</x:v>
      </x:c>
      <x:c r="G23" s="14" t="n">
        <x:v>15.99</x:v>
      </x:c>
      <x:c r="H23" s="11" t="str">
        <x:v>Klappenbroschur</x:v>
      </x:c>
      <x:c r="I23" s="11" t="str">
        <x:v>Yes</x:v>
      </x:c>
      <x:c r="J23" s="11" t="n">
        <x:v>1</x:v>
      </x:c>
      <x:c r="K23" s="11" t="str">
        <x:v>No</x:v>
      </x:c>
      <x:c r="L23" s="11" t="str">
        <x:v>https://www.ullstein.de/werke/dark-venice-deep-water/paperback/9783958187887</x:v>
      </x:c>
      <x:c r="M23" s="11" t="str">
        <x:v>Dark Venice</x:v>
      </x:c>
      <x:c r="N23" s="11" t="str">
        <x:v>Full verified</x:v>
      </x:c>
      <x:c r="O23" s="11" t="str">
        <x:v>Relevant German edition used; broad genre standardized for analysis.</x:v>
      </x:c>
    </x:row>
    <x:row r="24">
      <x:c r="A24" s="11" t="str">
        <x:v>Loverboy - Niemand liebt dich so wie ich</x:v>
      </x:c>
      <x:c r="B24" s="11" t="str">
        <x:v>Antonia Wesseling</x:v>
      </x:c>
      <x:c r="C24" s="11" t="str">
        <x:v>978-3-426-56024-2</x:v>
      </x:c>
      <x:c r="D24" s="11" t="str">
        <x:v>Knaur TB</x:v>
      </x:c>
      <x:c r="E24" s="11" t="str">
        <x:v>Romance / Thriller</x:v>
      </x:c>
      <x:c r="F24" s="11" t="str">
        <x:v>2025-06-02</x:v>
      </x:c>
      <x:c r="G24" s="14"/>
      <x:c r="H24" s="11" t="str">
        <x:v>Paperback</x:v>
      </x:c>
      <x:c r="I24" s="11" t="str">
        <x:v>No</x:v>
      </x:c>
      <x:c r="J24" s="11"/>
      <x:c r="K24" s="11" t="str">
        <x:v>No</x:v>
      </x:c>
      <x:c r="L24" s="11" t="str">
        <x:v>https://www.droemer-knaur.de/buch/antonia-wesseling-loverboy-niemand-liebt-dich-so-wie-ich-9783426560242</x:v>
      </x:c>
      <x:c r="M24" s="11"/>
      <x:c r="N24" s="11" t="str">
        <x:v>Full verified</x:v>
      </x:c>
      <x:c r="O24" s="11" t="str">
        <x:v>Relevant chart-era edition used; broad genre standardized for analysis.</x:v>
      </x:c>
    </x:row>
    <x:row r="25">
      <x:c r="A25" s="11" t="str">
        <x:v>Tausend Splitter zu dir - Based on Lena’s True Story</x:v>
      </x:c>
      <x:c r="B25" s="11" t="str">
        <x:v>Antonia Wesseling</x:v>
      </x:c>
      <x:c r="C25" s="11" t="str">
        <x:v>978-3-453-29274-1</x:v>
      </x:c>
      <x:c r="D25" s="11" t="str">
        <x:v>heartlines / Heyne</x:v>
      </x:c>
      <x:c r="E25" s="11" t="str">
        <x:v>Romance / New Adult</x:v>
      </x:c>
      <x:c r="F25" s="11" t="str">
        <x:v>2025-02-19</x:v>
      </x:c>
      <x:c r="G25" s="14"/>
      <x:c r="H25" s="11" t="str">
        <x:v>Paperback</x:v>
      </x:c>
      <x:c r="I25" s="11" t="str">
        <x:v>No</x:v>
      </x:c>
      <x:c r="J25" s="11"/>
      <x:c r="K25" s="11" t="str">
        <x:v>No</x:v>
      </x:c>
      <x:c r="L25" s="11" t="str">
        <x:v>https://www.antoniawesseling.com/buecher/tausend-splitter-zu-dir/</x:v>
      </x:c>
      <x:c r="M25" s="11"/>
      <x:c r="N25" s="11" t="str">
        <x:v>Full verified</x:v>
      </x:c>
      <x:c r="O25" s="11" t="str">
        <x:v>Relevant chart-era edition used; broad genre standardized for analysis.</x:v>
      </x:c>
    </x:row>
    <x:row r="26">
      <x:c r="A26" s="11" t="str">
        <x:v>Broken Prince</x:v>
      </x:c>
      <x:c r="B26" s="11" t="str">
        <x:v>Anya Omah</x:v>
      </x:c>
      <x:c r="C26" s="11" t="str">
        <x:v>978-3-499-01159-7</x:v>
      </x:c>
      <x:c r="D26" s="11" t="str">
        <x:v>KYSS / Rowohlt</x:v>
      </x:c>
      <x:c r="E26" s="11" t="str">
        <x:v>Romance / New Adult</x:v>
      </x:c>
      <x:c r="F26" s="11" t="str">
        <x:v>2025-08-12</x:v>
      </x:c>
      <x:c r="G26" s="14" t="n">
        <x:v>17</x:v>
      </x:c>
      <x:c r="H26" s="11" t="str">
        <x:v>Paperback</x:v>
      </x:c>
      <x:c r="I26" s="11" t="str">
        <x:v>Yes</x:v>
      </x:c>
      <x:c r="J26" s="11" t="n">
        <x:v>2</x:v>
      </x:c>
      <x:c r="K26" s="11" t="str">
        <x:v>No</x:v>
      </x:c>
      <x:c r="L26" s="11" t="str">
        <x:v>https://www.rowohlt.de/buch/anya-omah-broken-prince-9783499011597</x:v>
      </x:c>
      <x:c r="M26" s="11" t="str">
        <x:v>Northern Royals</x:v>
      </x:c>
      <x:c r="N26" s="11" t="str">
        <x:v>Full verified</x:v>
      </x:c>
      <x:c r="O26" s="11" t="str">
        <x:v>Relevant chart-era edition used; broad genre standardized for analysis.</x:v>
      </x:c>
    </x:row>
    <x:row r="27">
      <x:c r="A27" s="11" t="str">
        <x:v>Fake Roomie</x:v>
      </x:c>
      <x:c r="B27" s="11" t="str">
        <x:v>Anya Omah</x:v>
      </x:c>
      <x:c r="C27" s="11" t="str">
        <x:v>978-3-9894220-6-3</x:v>
      </x:c>
      <x:c r="D27" s="11" t="str">
        <x:v>Nova MD</x:v>
      </x:c>
      <x:c r="E27" s="11" t="str">
        <x:v>Romance / New Adult</x:v>
      </x:c>
      <x:c r="F27" s="11" t="str">
        <x:v>2024-04-09</x:v>
      </x:c>
      <x:c r="G27" s="14"/>
      <x:c r="H27" s="11" t="str">
        <x:v>Taschenbuch</x:v>
      </x:c>
      <x:c r="I27" s="11" t="str">
        <x:v>No</x:v>
      </x:c>
      <x:c r="J27" s="11"/>
      <x:c r="K27" s="11" t="str">
        <x:v>Yes</x:v>
      </x:c>
      <x:c r="L27" s="11" t="str">
        <x:v>https://www.thalia.de/shop/home/artikeldetails/A1070065999</x:v>
      </x:c>
      <x:c r="M27" s="11"/>
      <x:c r="N27" s="11" t="str">
        <x:v>Full verified</x:v>
      </x:c>
      <x:c r="O27" s="11" t="str">
        <x:v>Relevant German edition used; broad genre standardized for analysis.</x:v>
      </x:c>
    </x:row>
    <x:row r="28">
      <x:c r="A28" s="11" t="str">
        <x:v>Whitestone Hospital - Colliding Hearts</x:v>
      </x:c>
      <x:c r="B28" s="11" t="str">
        <x:v>Ava Reed</x:v>
      </x:c>
      <x:c r="C28" s="11" t="str">
        <x:v>978-3-96635-628-2</x:v>
      </x:c>
      <x:c r="D28" s="11" t="str">
        <x:v>LYX</x:v>
      </x:c>
      <x:c r="E28" s="11" t="str">
        <x:v>Romance / New Adult</x:v>
      </x:c>
      <x:c r="F28" s="11" t="str">
        <x:v>2026</x:v>
      </x:c>
      <x:c r="G28" s="14"/>
      <x:c r="H28" s="11" t="str">
        <x:v>Paperback</x:v>
      </x:c>
      <x:c r="I28" s="11" t="str">
        <x:v>Yes</x:v>
      </x:c>
      <x:c r="J28" s="11" t="n">
        <x:v>5</x:v>
      </x:c>
      <x:c r="K28" s="11" t="str">
        <x:v>No</x:v>
      </x:c>
      <x:c r="L28" s="11" t="str">
        <x:v>https://portal.dnb.de/opac.htm?cqlMode=true&amp;method=simpleSearch&amp;query=idn%3D1391077172</x:v>
      </x:c>
      <x:c r="M28" s="11" t="str">
        <x:v>Whitestone Hospital</x:v>
      </x:c>
      <x:c r="N28" s="11" t="str">
        <x:v>Core verified</x:v>
      </x:c>
      <x:c r="O28" s="11" t="str">
        <x:v>German print ISBN, publisher and series verified; exact 2026 publication day was not retained.</x:v>
      </x:c>
    </x:row>
    <x:row r="29">
      <x:c r="A29" s="11" t="str">
        <x:v>A Million Stars Above</x:v>
      </x:c>
      <x:c r="B29" s="11" t="str">
        <x:v>Ayla Dade</x:v>
      </x:c>
      <x:c r="C29" s="11" t="str">
        <x:v>978-3-328-11158-0</x:v>
      </x:c>
      <x:c r="D29" s="11" t="str">
        <x:v>Penguin</x:v>
      </x:c>
      <x:c r="E29" s="11" t="str">
        <x:v>Romance / New Adult</x:v>
      </x:c>
      <x:c r="F29" s="11" t="str">
        <x:v>2025</x:v>
      </x:c>
      <x:c r="G29" s="14"/>
      <x:c r="H29" s="11" t="str">
        <x:v>Paperback</x:v>
      </x:c>
      <x:c r="I29" s="11" t="str">
        <x:v>Yes</x:v>
      </x:c>
      <x:c r="J29" s="11" t="n">
        <x:v>1</x:v>
      </x:c>
      <x:c r="K29" s="11" t="str">
        <x:v>No</x:v>
      </x:c>
      <x:c r="L29" s="11" t="str">
        <x:v>https://books.google.com/books/about/A_Million_Stars_Above.html?id=POmv0AEACAAJ</x:v>
      </x:c>
      <x:c r="M29" s="11" t="str">
        <x:v>Sky Circus</x:v>
      </x:c>
      <x:c r="N29" s="11" t="str">
        <x:v>Core verified</x:v>
      </x:c>
      <x:c r="O29" s="11" t="str">
        <x:v>Chart-era German print ISBN and publisher verified; exact publication day not retained.</x:v>
      </x:c>
    </x:row>
    <x:row r="30">
      <x:c r="A30" s="11" t="str">
        <x:v>Like Hearts We Heal</x:v>
      </x:c>
      <x:c r="B30" s="11" t="str">
        <x:v>Ayla Dade</x:v>
      </x:c>
      <x:c r="C30" s="11" t="str">
        <x:v>978-3-328-11366-9</x:v>
      </x:c>
      <x:c r="D30" s="11" t="str">
        <x:v>Penguin TB</x:v>
      </x:c>
      <x:c r="E30" s="11" t="str">
        <x:v>Romance / New Adult</x:v>
      </x:c>
      <x:c r="F30" s="11" t="str">
        <x:v>2025-11-12</x:v>
      </x:c>
      <x:c r="G30" s="14" t="n">
        <x:v>17</x:v>
      </x:c>
      <x:c r="H30" s="11" t="str">
        <x:v>Paperback</x:v>
      </x:c>
      <x:c r="I30" s="11" t="str">
        <x:v>Yes</x:v>
      </x:c>
      <x:c r="J30" s="11" t="n">
        <x:v>6</x:v>
      </x:c>
      <x:c r="K30" s="11" t="str">
        <x:v>No</x:v>
      </x:c>
      <x:c r="L30" s="11" t="str">
        <x:v>https://www.hugendubel.de/de/buch_kartoniert/ayla_dade-like_hearts_we_heal-50310054-produkt-details.html</x:v>
      </x:c>
      <x:c r="M30" s="11" t="str">
        <x:v>Winter Dreams</x:v>
      </x:c>
      <x:c r="N30" s="11" t="str">
        <x:v>Full verified</x:v>
      </x:c>
      <x:c r="O30" s="11" t="str">
        <x:v>Relevant chart-era edition used; broad genre standardized for analysis.</x:v>
      </x:c>
    </x:row>
    <x:row r="31">
      <x:c r="A31" s="11" t="str">
        <x:v>Wanna be my lover</x:v>
      </x:c>
      <x:c r="B31" s="11" t="str">
        <x:v>Ayla Dade</x:v>
      </x:c>
      <x:c r="C31" s="11" t="str">
        <x:v>978-3-328-11249-5</x:v>
      </x:c>
      <x:c r="D31" s="11" t="str">
        <x:v>Penguin</x:v>
      </x:c>
      <x:c r="E31" s="11" t="str">
        <x:v>Romance / New Adult</x:v>
      </x:c>
      <x:c r="F31" s="11" t="str">
        <x:v>2026-06-24</x:v>
      </x:c>
      <x:c r="G31" s="14" t="n">
        <x:v>18</x:v>
      </x:c>
      <x:c r="H31" s="11" t="str">
        <x:v>Paperback</x:v>
      </x:c>
      <x:c r="I31" s="11" t="str">
        <x:v>Yes</x:v>
      </x:c>
      <x:c r="J31" s="11" t="n">
        <x:v>1</x:v>
      </x:c>
      <x:c r="K31" s="11" t="str">
        <x:v>No</x:v>
      </x:c>
      <x:c r="L31" s="11" t="str">
        <x:v>https://www.thalia.de/shop/home/artikeldetails/A1078708252</x:v>
      </x:c>
      <x:c r="M31" s="11" t="str">
        <x:v>Summer Dreams</x:v>
      </x:c>
      <x:c r="N31" s="11" t="str">
        <x:v>Full verified</x:v>
      </x:c>
      <x:c r="O31" s="11" t="str">
        <x:v>Relevant chart-era edition used; broad genre standardized for analysis.</x:v>
      </x:c>
    </x:row>
    <x:row r="32">
      <x:c r="A32" s="11" t="str">
        <x:v>WHISPERS. Die Wahrheit wird dich zerstören</x:v>
      </x:c>
      <x:c r="B32" s="11" t="str">
        <x:v>Ayla Dade</x:v>
      </x:c>
      <x:c r="C32" s="11" t="str">
        <x:v>978-3-328-11126-9</x:v>
      </x:c>
      <x:c r="D32" s="11" t="str">
        <x:v>Penguin</x:v>
      </x:c>
      <x:c r="E32" s="11" t="str">
        <x:v>Thriller / Suspense</x:v>
      </x:c>
      <x:c r="F32" s="11" t="str">
        <x:v>2024-06-26</x:v>
      </x:c>
      <x:c r="G32" s="14" t="n">
        <x:v>16</x:v>
      </x:c>
      <x:c r="H32" s="11" t="str">
        <x:v>Paperback</x:v>
      </x:c>
      <x:c r="I32" s="11" t="str">
        <x:v>No</x:v>
      </x:c>
      <x:c r="J32" s="11"/>
      <x:c r="K32" s="11" t="str">
        <x:v>No</x:v>
      </x:c>
      <x:c r="L32" s="11" t="str">
        <x:v>https://www.hugendubel.de/de/buch_kartoniert/ayla_dade-whispers_die_wahrheit_...</x:v>
      </x:c>
      <x:c r="M32" s="11"/>
      <x:c r="N32" s="11" t="str">
        <x:v>Full verified</x:v>
      </x:c>
      <x:c r="O32" s="11" t="str">
        <x:v>Relevant German edition used; broad genre standardized for analysis.</x:v>
      </x:c>
    </x:row>
    <x:row r="33">
      <x:c r="A33" s="11" t="str">
        <x:v>Consider Me (Playing for Keeps 1)</x:v>
      </x:c>
      <x:c r="B33" s="11" t="str">
        <x:v>Becka Mack</x:v>
      </x:c>
      <x:c r="C33" s="11" t="str">
        <x:v>978-3-551-55947-0</x:v>
      </x:c>
      <x:c r="D33" s="11" t="str">
        <x:v>Carlsen</x:v>
      </x:c>
      <x:c r="E33" s="11" t="str">
        <x:v>Romance / New Adult</x:v>
      </x:c>
      <x:c r="F33" s="11" t="str">
        <x:v>2024-05-24</x:v>
      </x:c>
      <x:c r="G33" s="14" t="n">
        <x:v>16</x:v>
      </x:c>
      <x:c r="H33" s="11" t="str">
        <x:v>Paperback</x:v>
      </x:c>
      <x:c r="I33" s="11" t="str">
        <x:v>Yes</x:v>
      </x:c>
      <x:c r="J33" s="11" t="n">
        <x:v>1</x:v>
      </x:c>
      <x:c r="K33" s="11" t="str">
        <x:v>No</x:v>
      </x:c>
      <x:c r="L33" s="11" t="str">
        <x:v>https://www.carlsen.de/softcover/consider-me-playing-keeps-1/978-3-551-55947-0</x:v>
      </x:c>
      <x:c r="M33" s="11" t="str">
        <x:v>Playing for Keeps</x:v>
      </x:c>
      <x:c r="N33" s="11" t="str">
        <x:v>Full verified</x:v>
      </x:c>
      <x:c r="O33" s="11" t="str">
        <x:v>Relevant German edition used; broad genre standardized for analysis.</x:v>
      </x:c>
    </x:row>
    <x:row r="34">
      <x:c r="A34" s="11" t="str">
        <x:v>Hard Land</x:v>
      </x:c>
      <x:c r="B34" s="11" t="str">
        <x:v>Benedict Wells</x:v>
      </x:c>
      <x:c r="C34" s="11" t="str">
        <x:v>978-3-257-24674-2</x:v>
      </x:c>
      <x:c r="D34" s="11" t="str">
        <x:v>Diogenes Verlag AG</x:v>
      </x:c>
      <x:c r="E34" s="11" t="str">
        <x:v>Contemporary / Coming-of-Age</x:v>
      </x:c>
      <x:c r="F34" s="11" t="str">
        <x:v>2023-04-26</x:v>
      </x:c>
      <x:c r="G34" s="14" t="n">
        <x:v>15</x:v>
      </x:c>
      <x:c r="H34" s="11" t="str">
        <x:v>Taschenbuch</x:v>
      </x:c>
      <x:c r="I34" s="11" t="str">
        <x:v>No</x:v>
      </x:c>
      <x:c r="J34" s="11"/>
      <x:c r="K34" s="11"/>
      <x:c r="L34" s="11" t="str">
        <x:v>https://www.thalia.de/shop/home/artikeldetails/A1066690981</x:v>
      </x:c>
      <x:c r="M34" s="11"/>
      <x:c r="N34" s="11" t="str">
        <x:v>Full verified</x:v>
      </x:c>
      <x:c r="O34" s="11" t="str">
        <x:v>Genre is a standardized analytical category for this project.</x:v>
      </x:c>
    </x:row>
    <x:row r="35">
      <x:c r="A35" s="11" t="str">
        <x:v>BAD VIBES. Deine Geheimnisse sterben nie</x:v>
      </x:c>
      <x:c r="B35" s="11" t="str">
        <x:v>Bianca Iosivoni</x:v>
      </x:c>
      <x:c r="C35" s="11"/>
      <x:c r="D35" s="11" t="str">
        <x:v>Penguin</x:v>
      </x:c>
      <x:c r="E35" s="11" t="str">
        <x:v>Thriller / Suspense</x:v>
      </x:c>
      <x:c r="F35" s="11" t="str">
        <x:v>2025-02-19</x:v>
      </x:c>
      <x:c r="G35" s="14"/>
      <x:c r="H35" s="11" t="str">
        <x:v>Paperback</x:v>
      </x:c>
      <x:c r="I35" s="11" t="str">
        <x:v>No</x:v>
      </x:c>
      <x:c r="J35" s="11"/>
      <x:c r="K35" s="11" t="str">
        <x:v>No</x:v>
      </x:c>
      <x:c r="L35" s="11" t="str">
        <x:v>https://www.bianca-iosivoni.de/bad-vibes-deine-geheimnisse-sterben-nie/</x:v>
      </x:c>
      <x:c r="M35" s="11"/>
      <x:c r="N35" s="11" t="str">
        <x:v>Core verified</x:v>
      </x:c>
      <x:c r="O35" s="11" t="str">
        <x:v>Publisher/date/title verified from author source; edition-specific print ISBN not captured.</x:v>
      </x:c>
    </x:row>
    <x:row r="36">
      <x:c r="A36" s="11" t="str">
        <x:v>Golden Bay - How it feels</x:v>
      </x:c>
      <x:c r="B36" s="11" t="str">
        <x:v>Bianca Iosivoni</x:v>
      </x:c>
      <x:c r="C36" s="11" t="str">
        <x:v>978-3-328-11078-1</x:v>
      </x:c>
      <x:c r="D36" s="11" t="str">
        <x:v>Penguin</x:v>
      </x:c>
      <x:c r="E36" s="11" t="str">
        <x:v>Romance / New Adult</x:v>
      </x:c>
      <x:c r="F36" s="11" t="str">
        <x:v>2024-02-28</x:v>
      </x:c>
      <x:c r="G36" s="14" t="n">
        <x:v>16</x:v>
      </x:c>
      <x:c r="H36" s="11" t="str">
        <x:v>Paperback</x:v>
      </x:c>
      <x:c r="I36" s="11" t="str">
        <x:v>Yes</x:v>
      </x:c>
      <x:c r="J36" s="11" t="n">
        <x:v>1</x:v>
      </x:c>
      <x:c r="K36" s="11" t="str">
        <x:v>No</x:v>
      </x:c>
      <x:c r="L36" s="11" t="str">
        <x:v>https://www.thalia.de/shop/home/artikeldetails/A1070058690</x:v>
      </x:c>
      <x:c r="M36" s="11" t="str">
        <x:v>Golden Bay</x:v>
      </x:c>
      <x:c r="N36" s="11" t="str">
        <x:v>Full verified</x:v>
      </x:c>
      <x:c r="O36" s="11" t="str">
        <x:v>Relevant German edition used; broad genre standardized for analysis.</x:v>
      </x:c>
    </x:row>
    <x:row r="37">
      <x:c r="A37" s="11" t="str">
        <x:v>Golden Bay - How it hurts</x:v>
      </x:c>
      <x:c r="B37" s="11" t="str">
        <x:v>Bianca Iosivoni</x:v>
      </x:c>
      <x:c r="C37" s="11" t="str">
        <x:v>978-3-328-11079-8</x:v>
      </x:c>
      <x:c r="D37" s="11" t="str">
        <x:v>Penguin</x:v>
      </x:c>
      <x:c r="E37" s="11" t="str">
        <x:v>Romance / New Adult</x:v>
      </x:c>
      <x:c r="F37" s="11" t="str">
        <x:v>2024-05-22</x:v>
      </x:c>
      <x:c r="G37" s="14" t="n">
        <x:v>16</x:v>
      </x:c>
      <x:c r="H37" s="11" t="str">
        <x:v>Paperback</x:v>
      </x:c>
      <x:c r="I37" s="11" t="str">
        <x:v>Yes</x:v>
      </x:c>
      <x:c r="J37" s="11" t="n">
        <x:v>2</x:v>
      </x:c>
      <x:c r="K37" s="11" t="str">
        <x:v>No</x:v>
      </x:c>
      <x:c r="L37" s="11" t="str">
        <x:v>https://www.thalia.de/shop/home/artikeldetails/A1070058702</x:v>
      </x:c>
      <x:c r="M37" s="11" t="str">
        <x:v>Golden Bay</x:v>
      </x:c>
      <x:c r="N37" s="11" t="str">
        <x:v>Full verified</x:v>
      </x:c>
      <x:c r="O37" s="11" t="str">
        <x:v>Relevant German edition used; broad genre standardized for analysis.</x:v>
      </x:c>
    </x:row>
    <x:row r="38">
      <x:c r="A38" s="11" t="str">
        <x:v>Silver Lights - The more I love you</x:v>
      </x:c>
      <x:c r="B38" s="11" t="str">
        <x:v>Bianca Iosivoni</x:v>
      </x:c>
      <x:c r="C38" s="11" t="str">
        <x:v>978-3-328-11345-4</x:v>
      </x:c>
      <x:c r="D38" s="11" t="str">
        <x:v>Penguin</x:v>
      </x:c>
      <x:c r="E38" s="11" t="str">
        <x:v>Romance / New Adult</x:v>
      </x:c>
      <x:c r="F38" s="11" t="str">
        <x:v>2026-01-28</x:v>
      </x:c>
      <x:c r="G38" s="14"/>
      <x:c r="H38" s="11" t="str">
        <x:v>Paperback</x:v>
      </x:c>
      <x:c r="I38" s="11" t="str">
        <x:v>Yes</x:v>
      </x:c>
      <x:c r="J38" s="11" t="n">
        <x:v>2</x:v>
      </x:c>
      <x:c r="K38" s="11" t="str">
        <x:v>No</x:v>
      </x:c>
      <x:c r="L38" s="11" t="str">
        <x:v>https://www.bianca-iosivoni.de/silver-lights/</x:v>
      </x:c>
      <x:c r="M38" s="11" t="str">
        <x:v>Silver Lights</x:v>
      </x:c>
      <x:c r="N38" s="11" t="str">
        <x:v>Full verified</x:v>
      </x:c>
      <x:c r="O38" s="11" t="str">
        <x:v>Relevant chart-era edition used; broad genre standardized for analysis.</x:v>
      </x:c>
    </x:row>
    <x:row r="39">
      <x:c r="A39" s="11" t="str">
        <x:v>SORRY. Ich habe es nur für dich getan</x:v>
      </x:c>
      <x:c r="B39" s="11" t="str">
        <x:v>Bianca Iosivoni</x:v>
      </x:c>
      <x:c r="C39" s="11" t="str">
        <x:v>978-3-328-10889-4</x:v>
      </x:c>
      <x:c r="D39" s="11" t="str">
        <x:v>Penguin</x:v>
      </x:c>
      <x:c r="E39" s="11" t="str">
        <x:v>Thriller / Suspense</x:v>
      </x:c>
      <x:c r="F39" s="11" t="str">
        <x:v>2023-03-08</x:v>
      </x:c>
      <x:c r="G39" s="14" t="n">
        <x:v>15</x:v>
      </x:c>
      <x:c r="H39" s="11" t="str">
        <x:v>Paperback</x:v>
      </x:c>
      <x:c r="I39" s="11" t="str">
        <x:v>No</x:v>
      </x:c>
      <x:c r="J39" s="11"/>
      <x:c r="K39" s="11" t="str">
        <x:v>No</x:v>
      </x:c>
      <x:c r="L39" s="11" t="str">
        <x:v>https://www.lesejury.de/bianca-iosivoni/buecher/sorry-ich-habe-es-nur-fuer-dich-getan/9783328108894</x:v>
      </x:c>
      <x:c r="M39" s="11"/>
      <x:c r="N39" s="11" t="str">
        <x:v>Full verified</x:v>
      </x:c>
      <x:c r="O39" s="11" t="str">
        <x:v>Genre is a standardized analytical category for this project.</x:v>
      </x:c>
    </x:row>
    <x:row r="40">
      <x:c r="A40" s="11" t="str">
        <x:v>Wicked Mind</x:v>
      </x:c>
      <x:c r="B40" s="11" t="str">
        <x:v>Bianca Mov</x:v>
      </x:c>
      <x:c r="C40" s="11" t="str">
        <x:v>978-3-7341-1478-6</x:v>
      </x:c>
      <x:c r="D40" s="11" t="str">
        <x:v>Blush Blanvalet</x:v>
      </x:c>
      <x:c r="E40" s="11" t="str">
        <x:v>Romance / New Adult</x:v>
      </x:c>
      <x:c r="F40" s="11" t="str">
        <x:v>2025-09-10</x:v>
      </x:c>
      <x:c r="G40" s="14" t="n">
        <x:v>16</x:v>
      </x:c>
      <x:c r="H40" s="11" t="str">
        <x:v>Paperback</x:v>
      </x:c>
      <x:c r="I40" s="11" t="str">
        <x:v>Yes</x:v>
      </x:c>
      <x:c r="J40" s="11" t="n">
        <x:v>1</x:v>
      </x:c>
      <x:c r="K40" s="11" t="str">
        <x:v>No</x:v>
      </x:c>
      <x:c r="L40" s="11" t="str">
        <x:v>https://www.thalia.de/shop/home/artikeldetails/A1074776185</x:v>
      </x:c>
      <x:c r="M40" s="11" t="str">
        <x:v>Wicked Love</x:v>
      </x:c>
      <x:c r="N40" s="11" t="str">
        <x:v>Full verified</x:v>
      </x:c>
      <x:c r="O40" s="11" t="str">
        <x:v>Relevant chart-era edition used; broad genre standardized for analysis.</x:v>
      </x:c>
    </x:row>
    <x:row r="41">
      <x:c r="A41" s="11" t="str">
        <x:v>Today I’ll Fall For Him (3)</x:v>
      </x:c>
      <x:c r="B41" s="11" t="str">
        <x:v>Bianca Wege</x:v>
      </x:c>
      <x:c r="C41" s="11" t="str">
        <x:v>978-3-401-60789-4</x:v>
      </x:c>
      <x:c r="D41" s="11" t="str">
        <x:v>Arena</x:v>
      </x:c>
      <x:c r="E41" s="11" t="str">
        <x:v>Romance / New Adult</x:v>
      </x:c>
      <x:c r="F41" s="11" t="str">
        <x:v>2025</x:v>
      </x:c>
      <x:c r="G41" s="14" t="n">
        <x:v>17.5</x:v>
      </x:c>
      <x:c r="H41" s="11" t="str">
        <x:v>Klappenbroschur</x:v>
      </x:c>
      <x:c r="I41" s="11" t="str">
        <x:v>Yes</x:v>
      </x:c>
      <x:c r="J41" s="11" t="n">
        <x:v>3</x:v>
      </x:c>
      <x:c r="K41" s="11" t="str">
        <x:v>No</x:v>
      </x:c>
      <x:c r="L41" s="11" t="str">
        <x:v>https://books.google.com/books/about/Today_I_ll_Fall_For_Him_3.html?id=kFYD0QEACAAJ</x:v>
      </x:c>
      <x:c r="M41" s="11" t="str">
        <x:v>Today</x:v>
      </x:c>
      <x:c r="N41" s="11" t="str">
        <x:v>Core verified</x:v>
      </x:c>
      <x:c r="O41" s="11" t="str">
        <x:v>Print ISBN/publisher/year verified; exact print release day not retained.</x:v>
      </x:c>
    </x:row>
    <x:row r="42">
      <x:c r="A42" s="11" t="str">
        <x:v>Today I’ll Talk to Him</x:v>
      </x:c>
      <x:c r="B42" s="11" t="str">
        <x:v>Bianca Wege</x:v>
      </x:c>
      <x:c r="C42" s="11" t="str">
        <x:v>978-3-401-60704-7</x:v>
      </x:c>
      <x:c r="D42" s="11" t="str">
        <x:v>Arena</x:v>
      </x:c>
      <x:c r="E42" s="11" t="str">
        <x:v>Romance / New Adult</x:v>
      </x:c>
      <x:c r="F42" s="11" t="str">
        <x:v>2023-10-12</x:v>
      </x:c>
      <x:c r="G42" s="14" t="n">
        <x:v>17.5</x:v>
      </x:c>
      <x:c r="H42" s="11" t="str">
        <x:v>Paperback</x:v>
      </x:c>
      <x:c r="I42" s="11" t="str">
        <x:v>No</x:v>
      </x:c>
      <x:c r="J42" s="11"/>
      <x:c r="K42" s="11" t="str">
        <x:v>No</x:v>
      </x:c>
      <x:c r="L42" s="11" t="str">
        <x:v>https://www.schweitzer-online.de/buch/Wege/Today-Ill-Talk-Him/9783401607047/B628448/</x:v>
      </x:c>
      <x:c r="M42" s="11"/>
      <x:c r="N42" s="11" t="str">
        <x:v>Full verified</x:v>
      </x:c>
      <x:c r="O42" s="11" t="str">
        <x:v>Genre is a standardized analytical category for this project.</x:v>
      </x:c>
    </x:row>
    <x:row r="43">
      <x:c r="A43" s="11" t="str">
        <x:v>Prophezeiungen</x:v>
      </x:c>
      <x:c r="B43" s="11" t="str">
        <x:v>Birgit Fischer</x:v>
      </x:c>
      <x:c r="C43" s="11" t="str">
        <x:v>978-3-7787-7612-4</x:v>
      </x:c>
      <x:c r="D43" s="11" t="str">
        <x:v>Ansata</x:v>
      </x:c>
      <x:c r="E43" s="11" t="str">
        <x:v>Spirituality / Self-Help</x:v>
      </x:c>
      <x:c r="F43" s="11" t="str">
        <x:v>2026-02-25</x:v>
      </x:c>
      <x:c r="G43" s="14" t="n">
        <x:v>26</x:v>
      </x:c>
      <x:c r="H43" s="11" t="str">
        <x:v>Hardcover</x:v>
      </x:c>
      <x:c r="I43" s="11" t="str">
        <x:v>No</x:v>
      </x:c>
      <x:c r="J43" s="11"/>
      <x:c r="K43" s="11" t="str">
        <x:v>No</x:v>
      </x:c>
      <x:c r="L43" s="11" t="str">
        <x:v>https://www.hugendubel.de/de/buch_gebunden/birgit_fischer-prophezeiungen-51998441-produkt-details.html</x:v>
      </x:c>
      <x:c r="M43" s="11"/>
      <x:c r="N43" s="11" t="str">
        <x:v>Full verified</x:v>
      </x:c>
      <x:c r="O43" s="11" t="str">
        <x:v>Relevant chart-era edition used; broad genre standardized for analysis.</x:v>
      </x:c>
    </x:row>
    <x:row r="44">
      <x:c r="A44" s="11" t="str">
        <x:v>101 Essays, die dein Leben verändern werden</x:v>
      </x:c>
      <x:c r="B44" s="11" t="str">
        <x:v>Brianna Wiest</x:v>
      </x:c>
      <x:c r="C44" s="11" t="str">
        <x:v>978-3-492-07159-8</x:v>
      </x:c>
      <x:c r="D44" s="11" t="str">
        <x:v>Piper Verlag</x:v>
      </x:c>
      <x:c r="E44" s="11" t="str">
        <x:v>Self-Help / Psychology</x:v>
      </x:c>
      <x:c r="F44" s="11" t="str">
        <x:v>2022-03-31</x:v>
      </x:c>
      <x:c r="G44" s="14" t="n">
        <x:v>22</x:v>
      </x:c>
      <x:c r="H44" s="11" t="str">
        <x:v>Hardcover</x:v>
      </x:c>
      <x:c r="I44" s="11" t="str">
        <x:v>No</x:v>
      </x:c>
      <x:c r="J44" s="11"/>
      <x:c r="K44" s="11"/>
      <x:c r="L44" s="11" t="str">
        <x:v>https://www.piper.de/buecher/101-essays-die-dein-leben-veraendern-werden-isbn-978-3-492-07159-8</x:v>
      </x:c>
      <x:c r="M44" s="11"/>
      <x:c r="N44" s="11" t="str">
        <x:v>Full verified</x:v>
      </x:c>
      <x:c r="O44" s="11" t="str">
        <x:v>Genre is a standardized analytical category for this project.</x:v>
      </x:c>
    </x:row>
    <x:row r="45">
      <x:c r="A45" s="11" t="str">
        <x:v>On Wings of Blood</x:v>
      </x:c>
      <x:c r="B45" s="11" t="str">
        <x:v>Briar Boleyn</x:v>
      </x:c>
      <x:c r="C45" s="11" t="str">
        <x:v>978-3-8458-6856-1</x:v>
      </x:c>
      <x:c r="D45" s="11" t="str">
        <x:v>arsEdition</x:v>
      </x:c>
      <x:c r="E45" s="11" t="str">
        <x:v>Fantasy / Romantasy</x:v>
      </x:c>
      <x:c r="F45" s="11" t="str">
        <x:v>2026-01-26</x:v>
      </x:c>
      <x:c r="G45" s="14" t="n">
        <x:v>26</x:v>
      </x:c>
      <x:c r="H45" s="11" t="str">
        <x:v>Hardcover</x:v>
      </x:c>
      <x:c r="I45" s="11" t="str">
        <x:v>Yes</x:v>
      </x:c>
      <x:c r="J45" s="11" t="n">
        <x:v>1</x:v>
      </x:c>
      <x:c r="K45" s="11" t="str">
        <x:v>No</x:v>
      </x:c>
      <x:c r="L45" s="11" t="str">
        <x:v>https://arsedition.de/products/on-wings-of-blood-bloodwing-academy-1</x:v>
      </x:c>
      <x:c r="M45" s="11" t="str">
        <x:v>Bloodwing Academy</x:v>
      </x:c>
      <x:c r="N45" s="11" t="str">
        <x:v>Full verified</x:v>
      </x:c>
      <x:c r="O45" s="11" t="str">
        <x:v>Relevant chart-era edition used; broad genre standardized for analysis.</x:v>
      </x:c>
    </x:row>
    <x:row r="46">
      <x:c r="A46" s="11" t="str">
        <x:v>Was wir leise hofften</x:v>
      </x:c>
      <x:c r="B46" s="11" t="str">
        <x:v>Brittainy Cherry</x:v>
      </x:c>
      <x:c r="C46" s="11" t="str">
        <x:v>978-3-7363-2304-9</x:v>
      </x:c>
      <x:c r="D46" s="11" t="str">
        <x:v>LYX</x:v>
      </x:c>
      <x:c r="E46" s="11" t="str">
        <x:v>Romance / Contemporary</x:v>
      </x:c>
      <x:c r="F46" s="11" t="str">
        <x:v>2025-07-25</x:v>
      </x:c>
      <x:c r="G46" s="14" t="n">
        <x:v>16</x:v>
      </x:c>
      <x:c r="H46" s="11" t="str">
        <x:v>Paperback</x:v>
      </x:c>
      <x:c r="I46" s="11" t="str">
        <x:v>Yes</x:v>
      </x:c>
      <x:c r="J46" s="11" t="n">
        <x:v>3</x:v>
      </x:c>
      <x:c r="K46" s="11" t="str">
        <x:v>No</x:v>
      </x:c>
      <x:c r="L46" s="11" t="str">
        <x:v>https://lyx-verlag.de/Buecher/Romance/Was-wir-leise-hofften/9783736323049</x:v>
      </x:c>
      <x:c r="M46" s="11" t="str">
        <x:v>Problems</x:v>
      </x:c>
      <x:c r="N46" s="11" t="str">
        <x:v>Full verified</x:v>
      </x:c>
      <x:c r="O46" s="11" t="str">
        <x:v>Relevant chart-era edition used; broad genre standardized for analysis.</x:v>
      </x:c>
    </x:row>
    <x:row r="47">
      <x:c r="A47" s="11" t="str">
        <x:v>Wie das Schweigen vor der Flut</x:v>
      </x:c>
      <x:c r="B47" s="11" t="str">
        <x:v>Brittainy Cherry</x:v>
      </x:c>
      <x:c r="C47" s="11" t="str">
        <x:v>978-3-7363-2702-3</x:v>
      </x:c>
      <x:c r="D47" s="11" t="str">
        <x:v>LYX</x:v>
      </x:c>
      <x:c r="E47" s="11" t="str">
        <x:v>Romance / Contemporary</x:v>
      </x:c>
      <x:c r="F47" s="11" t="str">
        <x:v>2026-07-14</x:v>
      </x:c>
      <x:c r="G47" s="14" t="n">
        <x:v>16.9</x:v>
      </x:c>
      <x:c r="H47" s="11" t="str">
        <x:v>Paperback</x:v>
      </x:c>
      <x:c r="I47" s="11" t="str">
        <x:v>Yes</x:v>
      </x:c>
      <x:c r="J47" s="11" t="n">
        <x:v>3</x:v>
      </x:c>
      <x:c r="K47" s="11" t="str">
        <x:v>No</x:v>
      </x:c>
      <x:c r="L47" s="11" t="str">
        <x:v>https://www.thalia.de/shop/home/artikeldetails/A1077212412</x:v>
      </x:c>
      <x:c r="M47" s="11" t="str">
        <x:v>Chances</x:v>
      </x:c>
      <x:c r="N47" s="11" t="str">
        <x:v>Full verified</x:v>
      </x:c>
      <x:c r="O47" s="11" t="str">
        <x:v>Relevant chart-era edition used; broad genre standardized for analysis.</x:v>
      </x:c>
    </x:row>
    <x:row r="48">
      <x:c r="A48" s="11" t="str">
        <x:v>Wie die Ruhe vor dem Sturm</x:v>
      </x:c>
      <x:c r="B48" s="11" t="str">
        <x:v>Brittainy Cherry</x:v>
      </x:c>
      <x:c r="C48" s="11" t="str">
        <x:v>978-3-7363-1279-1</x:v>
      </x:c>
      <x:c r="D48" s="11" t="str">
        <x:v>LYX</x:v>
      </x:c>
      <x:c r="E48" s="11" t="str">
        <x:v>Romance / Contemporary</x:v>
      </x:c>
      <x:c r="F48" s="11" t="str">
        <x:v>2020-06-29</x:v>
      </x:c>
      <x:c r="G48" s="14" t="n">
        <x:v>16</x:v>
      </x:c>
      <x:c r="H48" s="11" t="str">
        <x:v>Paperback</x:v>
      </x:c>
      <x:c r="I48" s="11" t="str">
        <x:v>Yes</x:v>
      </x:c>
      <x:c r="J48" s="11" t="n">
        <x:v>1</x:v>
      </x:c>
      <x:c r="K48" s="11" t="str">
        <x:v>No</x:v>
      </x:c>
      <x:c r="L48" s="11" t="str">
        <x:v>https://bastei-luebbe.de/Buecher/New-Adult/Wie-die-Ruhe-vor-dem-Sturm/9783736312791</x:v>
      </x:c>
      <x:c r="M48" s="11" t="str">
        <x:v>Chances</x:v>
      </x:c>
      <x:c r="N48" s="11" t="str">
        <x:v>Full verified</x:v>
      </x:c>
      <x:c r="O48" s="11" t="str">
        <x:v>Relevant German edition used; broad genre standardized for analysis.</x:v>
      </x:c>
    </x:row>
    <x:row r="49">
      <x:c r="A49" s="11" t="str">
        <x:v>Brimstone - Königin der Finsternis. Krieger der Wölfe</x:v>
      </x:c>
      <x:c r="B49" s="11" t="str">
        <x:v>Callie Hart</x:v>
      </x:c>
      <x:c r="C49" s="11" t="str">
        <x:v>978-1-3997-5470-5</x:v>
      </x:c>
      <x:c r="D49" s="11" t="str">
        <x:v>Hodderscape</x:v>
      </x:c>
      <x:c r="E49" s="11" t="str">
        <x:v>Fantasy / Romantasy</x:v>
      </x:c>
      <x:c r="F49" s="11" t="str">
        <x:v>2025-11-18</x:v>
      </x:c>
      <x:c r="G49" s="14" t="n">
        <x:v>25</x:v>
      </x:c>
      <x:c r="H49" s="11" t="str">
        <x:v>English Hardcover</x:v>
      </x:c>
      <x:c r="I49" s="11" t="str">
        <x:v>Yes</x:v>
      </x:c>
      <x:c r="J49" s="11" t="n">
        <x:v>2</x:v>
      </x:c>
      <x:c r="K49" s="11" t="str">
        <x:v>No</x:v>
      </x:c>
      <x:c r="L49" s="11" t="str">
        <x:v>https://www.hachette.co.uk/titles/callie-hart/brimstone/9781399754705/</x:v>
      </x:c>
      <x:c r="M49" s="11" t="str">
        <x:v>Fae &amp; Alchemy</x:v>
      </x:c>
      <x:c r="N49" s="11" t="str">
        <x:v>Edition ambiguous</x:v>
      </x:c>
      <x:c r="O49" s="11" t="str">
        <x:v>The German BookTok chart appearance predates the German translation; English UK chart-era edition used.</x:v>
      </x:c>
    </x:row>
    <x:row r="50">
      <x:c r="A50" s="11" t="str">
        <x:v>Quicksilver - Tochter des Silbers. Gefangener der Schatten</x:v>
      </x:c>
      <x:c r="B50" s="11" t="str">
        <x:v>Callie Hart</x:v>
      </x:c>
      <x:c r="C50" s="11" t="str">
        <x:v>978-1-3987-4541-3</x:v>
      </x:c>
      <x:c r="D50" s="11" t="str">
        <x:v>Hodderscape</x:v>
      </x:c>
      <x:c r="E50" s="11" t="str">
        <x:v>Fantasy / Romantasy</x:v>
      </x:c>
      <x:c r="F50" s="11" t="str">
        <x:v>2024-12-03</x:v>
      </x:c>
      <x:c r="G50" s="14"/>
      <x:c r="H50" s="11" t="str">
        <x:v>English Hardcover</x:v>
      </x:c>
      <x:c r="I50" s="11" t="str">
        <x:v>Yes</x:v>
      </x:c>
      <x:c r="J50" s="11" t="n">
        <x:v>1</x:v>
      </x:c>
      <x:c r="K50" s="11" t="str">
        <x:v>No</x:v>
      </x:c>
      <x:c r="L50" s="11" t="str">
        <x:v>https://www.hachette.co.uk/titles/callie-hart/quicksilver/9781399745413/</x:v>
      </x:c>
      <x:c r="M50" s="11" t="str">
        <x:v>Fae &amp; Alchemy</x:v>
      </x:c>
      <x:c r="N50" s="11" t="str">
        <x:v>Edition ambiguous</x:v>
      </x:c>
      <x:c r="O50" s="11" t="str">
        <x:v>The 2025 German BookTok chart predates the German translation; English chart-era edition used.</x:v>
      </x:c>
    </x:row>
    <x:row r="51">
      <x:c r="A51" s="11" t="str">
        <x:v>Children of Fallen Gods (War of Lost Hearts 2)</x:v>
      </x:c>
      <x:c r="B51" s="11" t="str">
        <x:v>Carissa Broadbent</x:v>
      </x:c>
      <x:c r="C51" s="11" t="str">
        <x:v>978-3-551-58615-5</x:v>
      </x:c>
      <x:c r="D51" s="11" t="str">
        <x:v>Carlsen</x:v>
      </x:c>
      <x:c r="E51" s="11" t="str">
        <x:v>Fantasy / Romantasy</x:v>
      </x:c>
      <x:c r="F51" s="11" t="str">
        <x:v>2026-01-15</x:v>
      </x:c>
      <x:c r="G51" s="14" t="n">
        <x:v>24</x:v>
      </x:c>
      <x:c r="H51" s="11" t="str">
        <x:v>Hardcover</x:v>
      </x:c>
      <x:c r="I51" s="11" t="str">
        <x:v>Yes</x:v>
      </x:c>
      <x:c r="J51" s="11" t="n">
        <x:v>2</x:v>
      </x:c>
      <x:c r="K51" s="11" t="str">
        <x:v>No</x:v>
      </x:c>
      <x:c r="L51" s="11" t="str">
        <x:v>https://www.carlsen.de/hardcover/children-fallen-gods-war-lost-hearts-2/978-3-551-58615-5</x:v>
      </x:c>
      <x:c r="M51" s="11" t="str">
        <x:v>War of Lost Hearts</x:v>
      </x:c>
      <x:c r="N51" s="11" t="str">
        <x:v>Full verified</x:v>
      </x:c>
      <x:c r="O51" s="11" t="str">
        <x:v>Relevant chart-era edition used; broad genre standardized for analysis.</x:v>
      </x:c>
    </x:row>
    <x:row r="52">
      <x:c r="A52" s="11" t="str">
        <x:v>Daughter of No Worlds (War of Lost Hearts 1)</x:v>
      </x:c>
      <x:c r="B52" s="11" t="str">
        <x:v>Carissa Broadbent</x:v>
      </x:c>
      <x:c r="C52" s="11" t="str">
        <x:v>978-3-551-58614-8</x:v>
      </x:c>
      <x:c r="D52" s="11" t="str">
        <x:v>Carlsen</x:v>
      </x:c>
      <x:c r="E52" s="11" t="str">
        <x:v>Fantasy / Romantasy</x:v>
      </x:c>
      <x:c r="F52" s="11" t="str">
        <x:v>2025-09-01</x:v>
      </x:c>
      <x:c r="G52" s="14" t="n">
        <x:v>24</x:v>
      </x:c>
      <x:c r="H52" s="11" t="str">
        <x:v>Hardcover</x:v>
      </x:c>
      <x:c r="I52" s="11" t="str">
        <x:v>Yes</x:v>
      </x:c>
      <x:c r="J52" s="11" t="n">
        <x:v>1</x:v>
      </x:c>
      <x:c r="K52" s="11" t="str">
        <x:v>No</x:v>
      </x:c>
      <x:c r="L52" s="11" t="str">
        <x:v>https://www.carlsen.de/hardcover/daughter-no-worlds-war-lost-hearts-1/978-3-551-58614-8</x:v>
      </x:c>
      <x:c r="M52" s="11" t="str">
        <x:v>War of Lost Hearts</x:v>
      </x:c>
      <x:c r="N52" s="11" t="str">
        <x:v>Full verified</x:v>
      </x:c>
      <x:c r="O52" s="11" t="str">
        <x:v>Relevant chart-era edition used; broad genre standardized for analysis.</x:v>
      </x:c>
    </x:row>
    <x:row r="53">
      <x:c r="A53" s="11" t="str">
        <x:v>The Serpent and the Wings of Night (Crowns of Nyaxia 1)</x:v>
      </x:c>
      <x:c r="B53" s="11" t="str">
        <x:v>Carissa Broadbent</x:v>
      </x:c>
      <x:c r="C53" s="11" t="str">
        <x:v>978-3-551-58551-6</x:v>
      </x:c>
      <x:c r="D53" s="11" t="str">
        <x:v>Carlsen</x:v>
      </x:c>
      <x:c r="E53" s="11" t="str">
        <x:v>Fantasy / Romantasy</x:v>
      </x:c>
      <x:c r="F53" s="11" t="str">
        <x:v>2024-02-15</x:v>
      </x:c>
      <x:c r="G53" s="14" t="n">
        <x:v>22</x:v>
      </x:c>
      <x:c r="H53" s="11" t="str">
        <x:v>Hardcover</x:v>
      </x:c>
      <x:c r="I53" s="11" t="str">
        <x:v>Yes</x:v>
      </x:c>
      <x:c r="J53" s="11" t="n">
        <x:v>1</x:v>
      </x:c>
      <x:c r="K53" s="11" t="str">
        <x:v>No</x:v>
      </x:c>
      <x:c r="L53" s="11" t="str">
        <x:v>https://www.carlsen.de/hardcover/serpent-and-wings-night-crowns-nyaxia-1/978-3-551-58551-6</x:v>
      </x:c>
      <x:c r="M53" s="11" t="str">
        <x:v>Crowns of Nyaxia</x:v>
      </x:c>
      <x:c r="N53" s="11" t="str">
        <x:v>Full verified</x:v>
      </x:c>
      <x:c r="O53" s="11" t="str">
        <x:v>Relevant German edition used; broad genre standardized for analysis.</x:v>
      </x:c>
    </x:row>
    <x:row r="54">
      <x:c r="A54" s="11" t="str">
        <x:v>Der Sommer unseres Lebens</x:v>
      </x:c>
      <x:c r="B54" s="11" t="str">
        <x:v>Carley Fortune</x:v>
      </x:c>
      <x:c r="C54" s="11" t="str">
        <x:v>978-3-328-11369-0</x:v>
      </x:c>
      <x:c r="D54" s="11" t="str">
        <x:v>Penguin</x:v>
      </x:c>
      <x:c r="E54" s="11" t="str">
        <x:v>Romance / Contemporary</x:v>
      </x:c>
      <x:c r="F54" s="11" t="str">
        <x:v>2026-04-16</x:v>
      </x:c>
      <x:c r="G54" s="14" t="n">
        <x:v>13</x:v>
      </x:c>
      <x:c r="H54" s="11" t="str">
        <x:v>Paperback</x:v>
      </x:c>
      <x:c r="I54" s="11" t="str">
        <x:v>Yes</x:v>
      </x:c>
      <x:c r="J54" s="11" t="n">
        <x:v>2</x:v>
      </x:c>
      <x:c r="K54" s="11" t="str">
        <x:v>No</x:v>
      </x:c>
      <x:c r="L54" s="11" t="str">
        <x:v>https://www.schweitzer-online.de/buch/Fortune/Sommer-unseres-Lebens/9783328113690/A75544523/</x:v>
      </x:c>
      <x:c r="M54" s="11" t="str">
        <x:v>Barry’s Bay</x:v>
      </x:c>
      <x:c r="N54" s="11" t="str">
        <x:v>Full verified</x:v>
      </x:c>
      <x:c r="O54" s="11" t="str">
        <x:v>Relevant chart-era edition used; broad genre standardized for analysis.</x:v>
      </x:c>
    </x:row>
    <x:row r="55">
      <x:c r="A55" s="11" t="str">
        <x:v>Der Sturm zwischen uns</x:v>
      </x:c>
      <x:c r="B55" s="11" t="str">
        <x:v>Carley Fortune</x:v>
      </x:c>
      <x:c r="C55" s="11" t="str">
        <x:v>978-3-328-11459-8</x:v>
      </x:c>
      <x:c r="D55" s="11" t="str">
        <x:v>Penguin</x:v>
      </x:c>
      <x:c r="E55" s="11" t="str">
        <x:v>Romance / Contemporary</x:v>
      </x:c>
      <x:c r="F55" s="11" t="str">
        <x:v>2026-05-13</x:v>
      </x:c>
      <x:c r="G55" s="14" t="n">
        <x:v>13</x:v>
      </x:c>
      <x:c r="H55" s="11" t="str">
        <x:v>Paperback</x:v>
      </x:c>
      <x:c r="I55" s="11" t="str">
        <x:v>No</x:v>
      </x:c>
      <x:c r="J55" s="11"/>
      <x:c r="K55" s="11" t="str">
        <x:v>No</x:v>
      </x:c>
      <x:c r="L55" s="11" t="str">
        <x:v>https://www.thalia.de/shop/home/artikeldetails/A1077750569</x:v>
      </x:c>
      <x:c r="M55" s="11"/>
      <x:c r="N55" s="11" t="str">
        <x:v>Full verified</x:v>
      </x:c>
      <x:c r="O55" s="11" t="str">
        <x:v>Relevant chart-era edition used; broad genre standardized for analysis.</x:v>
      </x:c>
    </x:row>
    <x:row r="56">
      <x:c r="A56" s="11" t="str">
        <x:v>Dieser Sommer wird anders</x:v>
      </x:c>
      <x:c r="B56" s="11" t="str">
        <x:v>Carley Fortune</x:v>
      </x:c>
      <x:c r="C56" s="11" t="str">
        <x:v>978-3-328-11257-0</x:v>
      </x:c>
      <x:c r="D56" s="11" t="str">
        <x:v>Penguin</x:v>
      </x:c>
      <x:c r="E56" s="11" t="str">
        <x:v>Romance / Contemporary</x:v>
      </x:c>
      <x:c r="F56" s="11" t="str">
        <x:v>2025</x:v>
      </x:c>
      <x:c r="G56" s="14"/>
      <x:c r="H56" s="11" t="str">
        <x:v>Paperback</x:v>
      </x:c>
      <x:c r="I56" s="11" t="str">
        <x:v>No</x:v>
      </x:c>
      <x:c r="J56" s="11"/>
      <x:c r="K56" s="11" t="str">
        <x:v>No</x:v>
      </x:c>
      <x:c r="L56" s="11" t="str">
        <x:v>https://d-nb.info/1368390714/34</x:v>
      </x:c>
      <x:c r="M56" s="11"/>
      <x:c r="N56" s="11" t="str">
        <x:v>Core verified</x:v>
      </x:c>
      <x:c r="O56" s="11" t="str">
        <x:v>Relevant chart-era edition used; broad genre standardized for analysis.</x:v>
      </x:c>
    </x:row>
    <x:row r="57">
      <x:c r="A57" s="11" t="str">
        <x:v>Fünf Sommer mit dir</x:v>
      </x:c>
      <x:c r="B57" s="11" t="str">
        <x:v>Carley Fortune</x:v>
      </x:c>
      <x:c r="C57" s="11" t="str">
        <x:v>978-3-328-10900-6</x:v>
      </x:c>
      <x:c r="D57" s="11" t="str">
        <x:v>Penguin</x:v>
      </x:c>
      <x:c r="E57" s="11" t="str">
        <x:v>Romance / Contemporary</x:v>
      </x:c>
      <x:c r="F57" s="11" t="str">
        <x:v>2023-04-12</x:v>
      </x:c>
      <x:c r="G57" s="14"/>
      <x:c r="H57" s="11" t="str">
        <x:v>Taschenbuch</x:v>
      </x:c>
      <x:c r="I57" s="11" t="str">
        <x:v>No</x:v>
      </x:c>
      <x:c r="J57" s="11"/>
      <x:c r="K57" s="11" t="str">
        <x:v>No</x:v>
      </x:c>
      <x:c r="L57" s="11" t="str">
        <x:v>https://www.thalia.de/shop/home/artikeldetails/A1066698487</x:v>
      </x:c>
      <x:c r="M57" s="11"/>
      <x:c r="N57" s="11" t="str">
        <x:v>Full verified</x:v>
      </x:c>
      <x:c r="O57" s="11" t="str">
        <x:v>Genre is a standardized analytical category for this project.</x:v>
      </x:c>
    </x:row>
    <x:row r="58">
      <x:c r="A58" s="11" t="str">
        <x:v>Nächsten Sommer am See</x:v>
      </x:c>
      <x:c r="B58" s="11" t="str">
        <x:v>Carley Fortune</x:v>
      </x:c>
      <x:c r="C58" s="11" t="str">
        <x:v>978-3-328-11094-1</x:v>
      </x:c>
      <x:c r="D58" s="11" t="str">
        <x:v>Penguin</x:v>
      </x:c>
      <x:c r="E58" s="11" t="str">
        <x:v>Romance / Contemporary</x:v>
      </x:c>
      <x:c r="F58" s="11" t="str">
        <x:v>2024-04-11</x:v>
      </x:c>
      <x:c r="G58" s="14"/>
      <x:c r="H58" s="11" t="str">
        <x:v>Paperback</x:v>
      </x:c>
      <x:c r="I58" s="11" t="str">
        <x:v>No</x:v>
      </x:c>
      <x:c r="J58" s="11"/>
      <x:c r="K58" s="11" t="str">
        <x:v>No</x:v>
      </x:c>
      <x:c r="L58" s="11" t="str">
        <x:v>https://content.penguinrandomhouse.de/content/share/EU-Penguin-Belletristik-T...</x:v>
      </x:c>
      <x:c r="M58" s="11"/>
      <x:c r="N58" s="11" t="str">
        <x:v>Full verified</x:v>
      </x:c>
      <x:c r="O58" s="11" t="str">
        <x:v>Relevant German edition used; broad genre standardized for analysis.</x:v>
      </x:c>
    </x:row>
    <x:row r="59">
      <x:c r="A59" s="11" t="str">
        <x:v>Yesteryear</x:v>
      </x:c>
      <x:c r="B59" s="11" t="str">
        <x:v>Caro Claire Burke</x:v>
      </x:c>
      <x:c r="C59" s="11" t="str">
        <x:v>978-3-453-27535-5</x:v>
      </x:c>
      <x:c r="D59" s="11" t="str">
        <x:v>Heyne</x:v>
      </x:c>
      <x:c r="E59" s="11" t="str">
        <x:v>Contemporary Fiction</x:v>
      </x:c>
      <x:c r="F59" s="11" t="str">
        <x:v>2026-04-29</x:v>
      </x:c>
      <x:c r="G59" s="14" t="n">
        <x:v>24</x:v>
      </x:c>
      <x:c r="H59" s="11" t="str">
        <x:v>Hardcover</x:v>
      </x:c>
      <x:c r="I59" s="11" t="str">
        <x:v>No</x:v>
      </x:c>
      <x:c r="J59" s="11"/>
      <x:c r="K59" s="11" t="str">
        <x:v>No</x:v>
      </x:c>
      <x:c r="L59" s="11" t="str">
        <x:v>https://www.vorablesen.de/buecher/yesteryear</x:v>
      </x:c>
      <x:c r="M59" s="11"/>
      <x:c r="N59" s="11" t="str">
        <x:v>Full verified</x:v>
      </x:c>
      <x:c r="O59" s="11" t="str">
        <x:v>Relevant chart-era edition used; broad genre standardized for analysis.</x:v>
      </x:c>
    </x:row>
    <x:row r="60">
      <x:c r="A60" s="11" t="str">
        <x:v>Colliding Hopes (Driven Dreams-Dilogie)</x:v>
      </x:c>
      <x:c r="B60" s="11" t="str">
        <x:v>Carolin Wahl</x:v>
      </x:c>
      <x:c r="C60" s="11" t="str">
        <x:v>978-3-7432-2113-0</x:v>
      </x:c>
      <x:c r="D60" s="11" t="str">
        <x:v>Loewe</x:v>
      </x:c>
      <x:c r="E60" s="11" t="str">
        <x:v>Romance / New Adult</x:v>
      </x:c>
      <x:c r="F60" s="11" t="str">
        <x:v>2026-04-09</x:v>
      </x:c>
      <x:c r="G60" s="14" t="n">
        <x:v>16.95</x:v>
      </x:c>
      <x:c r="H60" s="11" t="str">
        <x:v>Paperback</x:v>
      </x:c>
      <x:c r="I60" s="11" t="str">
        <x:v>Yes</x:v>
      </x:c>
      <x:c r="J60" s="11" t="n">
        <x:v>2</x:v>
      </x:c>
      <x:c r="K60" s="11" t="str">
        <x:v>No</x:v>
      </x:c>
      <x:c r="L60" s="11" t="str">
        <x:v>https://www.loewe-verlag.de/colliding-hopes-driven-dreams-dilogie-band-2/38519</x:v>
      </x:c>
      <x:c r="M60" s="11" t="str">
        <x:v>Driven Dreams</x:v>
      </x:c>
      <x:c r="N60" s="11" t="str">
        <x:v>Full verified</x:v>
      </x:c>
      <x:c r="O60" s="11" t="str">
        <x:v>Relevant chart-era edition used; broad genre standardized for analysis.</x:v>
      </x:c>
    </x:row>
    <x:row r="61">
      <x:c r="A61" s="11" t="str">
        <x:v>Crushing Souls (Driven Dreams-Dilogie)</x:v>
      </x:c>
      <x:c r="B61" s="11" t="str">
        <x:v>Carolin Wahl</x:v>
      </x:c>
      <x:c r="C61" s="11" t="str">
        <x:v>978-3-7432-2112-3</x:v>
      </x:c>
      <x:c r="D61" s="11" t="str">
        <x:v>Loewe</x:v>
      </x:c>
      <x:c r="E61" s="11" t="str">
        <x:v>Romance / New Adult</x:v>
      </x:c>
      <x:c r="F61" s="11" t="str">
        <x:v>2025-07-17</x:v>
      </x:c>
      <x:c r="G61" s="14" t="n">
        <x:v>15.95</x:v>
      </x:c>
      <x:c r="H61" s="11" t="str">
        <x:v>Paperback</x:v>
      </x:c>
      <x:c r="I61" s="11" t="str">
        <x:v>Yes</x:v>
      </x:c>
      <x:c r="J61" s="11" t="n">
        <x:v>1</x:v>
      </x:c>
      <x:c r="K61" s="11" t="str">
        <x:v>No</x:v>
      </x:c>
      <x:c r="L61" s="11" t="str">
        <x:v>https://www.loewe-verlag.de/crushing-souls-driven-dreams-dilogie-band-1/38518</x:v>
      </x:c>
      <x:c r="M61" s="11" t="str">
        <x:v>Driven Dreams</x:v>
      </x:c>
      <x:c r="N61" s="11" t="str">
        <x:v>Full verified</x:v>
      </x:c>
      <x:c r="O61" s="11" t="str">
        <x:v>Relevant chart-era edition used; broad genre standardized for analysis.</x:v>
      </x:c>
    </x:row>
    <x:row r="62">
      <x:c r="A62" s="11" t="str">
        <x:v>Golden Heritage (Crumbling Hearts)</x:v>
      </x:c>
      <x:c r="B62" s="11" t="str">
        <x:v>Carolin Wahl</x:v>
      </x:c>
      <x:c r="C62" s="11" t="str">
        <x:v>978-3-7432-1572-6</x:v>
      </x:c>
      <x:c r="D62" s="11" t="str">
        <x:v>Loewe</x:v>
      </x:c>
      <x:c r="E62" s="11" t="str">
        <x:v>Romance / New Adult</x:v>
      </x:c>
      <x:c r="F62" s="11" t="str">
        <x:v>2024-04-17</x:v>
      </x:c>
      <x:c r="G62" s="14" t="n">
        <x:v>15.95</x:v>
      </x:c>
      <x:c r="H62" s="11" t="str">
        <x:v>Paperback</x:v>
      </x:c>
      <x:c r="I62" s="11" t="str">
        <x:v>Yes</x:v>
      </x:c>
      <x:c r="J62" s="11" t="n">
        <x:v>2</x:v>
      </x:c>
      <x:c r="K62" s="11" t="str">
        <x:v>No</x:v>
      </x:c>
      <x:c r="L62" s="11" t="str">
        <x:v>https://www.loewe-verlag.de/golden-heritage-crumbling-hearts-band-2/35838</x:v>
      </x:c>
      <x:c r="M62" s="11" t="str">
        <x:v>Crumbling Hearts</x:v>
      </x:c>
      <x:c r="N62" s="11" t="str">
        <x:v>Full verified</x:v>
      </x:c>
      <x:c r="O62" s="11" t="str">
        <x:v>Relevant German edition used; broad genre standardized for analysis.</x:v>
      </x:c>
    </x:row>
    <x:row r="63">
      <x:c r="A63" s="11" t="str">
        <x:v>Larsson Legacy</x:v>
      </x:c>
      <x:c r="B63" s="11" t="str">
        <x:v>Carolin Wahl</x:v>
      </x:c>
      <x:c r="C63" s="11" t="str">
        <x:v>978-3-7320-2183-3</x:v>
      </x:c>
      <x:c r="D63" s="11" t="str">
        <x:v>Loewe</x:v>
      </x:c>
      <x:c r="E63" s="11" t="str">
        <x:v>Romance / New Adult</x:v>
      </x:c>
      <x:c r="F63" s="11" t="str">
        <x:v>2024-11-13</x:v>
      </x:c>
      <x:c r="G63" s="14"/>
      <x:c r="H63" s="11" t="str">
        <x:v>Paperback</x:v>
      </x:c>
      <x:c r="I63" s="11" t="str">
        <x:v>Yes</x:v>
      </x:c>
      <x:c r="J63" s="11" t="n">
        <x:v>3</x:v>
      </x:c>
      <x:c r="K63" s="11" t="str">
        <x:v>No</x:v>
      </x:c>
      <x:c r="L63" s="11" t="str">
        <x:v>https://www.loewe-verlag.de/larsson-legacy-crumbling-hearts-band-3/37024</x:v>
      </x:c>
      <x:c r="M63" s="11" t="str">
        <x:v>Crumbling Hearts</x:v>
      </x:c>
      <x:c r="N63" s="11" t="str">
        <x:v>Full verified</x:v>
      </x:c>
      <x:c r="O63" s="11" t="str">
        <x:v>Added because November 2024 is partial but the title is confirmed.</x:v>
      </x:c>
    </x:row>
    <x:row r="64">
      <x:c r="A64" s="11" t="str">
        <x:v>Skogen Dynasty (Crumbling Hearts, Band 1)</x:v>
      </x:c>
      <x:c r="B64" s="11" t="str">
        <x:v>Carolin Wahl</x:v>
      </x:c>
      <x:c r="C64" s="11" t="str">
        <x:v>978-3-7320-2052-2</x:v>
      </x:c>
      <x:c r="D64" s="11" t="str">
        <x:v>Loewe</x:v>
      </x:c>
      <x:c r="E64" s="11" t="str">
        <x:v>Romance / New Adult</x:v>
      </x:c>
      <x:c r="F64" s="11" t="str">
        <x:v>2023-09-13</x:v>
      </x:c>
      <x:c r="G64" s="14" t="n">
        <x:v>9.99</x:v>
      </x:c>
      <x:c r="H64" s="11" t="str">
        <x:v>Paperback</x:v>
      </x:c>
      <x:c r="I64" s="11" t="str">
        <x:v>Yes</x:v>
      </x:c>
      <x:c r="J64" s="11" t="n">
        <x:v>1</x:v>
      </x:c>
      <x:c r="K64" s="11" t="str">
        <x:v>No</x:v>
      </x:c>
      <x:c r="L64" s="11" t="str">
        <x:v>https://www.loewe-verlag.de/skogen-dynasty-crumbling-hearts-band-1/36453</x:v>
      </x:c>
      <x:c r="M64" s="11" t="str">
        <x:v>Crumbling Hearts</x:v>
      </x:c>
      <x:c r="N64" s="11" t="str">
        <x:v>Full verified</x:v>
      </x:c>
      <x:c r="O64" s="11" t="str">
        <x:v>Genre is a standardized analytical category for this project.</x:v>
      </x:c>
    </x:row>
    <x:row r="65">
      <x:c r="A65" s="11" t="str">
        <x:v>22 Bahnen</x:v>
      </x:c>
      <x:c r="B65" s="11" t="str">
        <x:v>Caroline Wahl</x:v>
      </x:c>
      <x:c r="C65" s="11" t="str">
        <x:v>978-3-8321-6803-2</x:v>
      </x:c>
      <x:c r="D65" s="11" t="str">
        <x:v>DuMont Buchverlag</x:v>
      </x:c>
      <x:c r="E65" s="11" t="str">
        <x:v>Contemporary Fiction</x:v>
      </x:c>
      <x:c r="F65" s="11" t="str">
        <x:v>2023-04-18</x:v>
      </x:c>
      <x:c r="G65" s="14" t="n">
        <x:v>24</x:v>
      </x:c>
      <x:c r="H65" s="11" t="str">
        <x:v>Hardcover</x:v>
      </x:c>
      <x:c r="I65" s="11" t="str">
        <x:v>No</x:v>
      </x:c>
      <x:c r="J65" s="11"/>
      <x:c r="K65" s="11" t="str">
        <x:v>No</x:v>
      </x:c>
      <x:c r="L65" s="11" t="str">
        <x:v>https://www.vub.de/portal/r/u/isbn%3A9783832168032</x:v>
      </x:c>
      <x:c r="M65" s="11"/>
      <x:c r="N65" s="11" t="str">
        <x:v>Full verified</x:v>
      </x:c>
      <x:c r="O65" s="11" t="str">
        <x:v>Genre is a standardized analytical category for this project.</x:v>
      </x:c>
    </x:row>
    <x:row r="66">
      <x:c r="A66" s="11" t="str">
        <x:v>Windstärke 17</x:v>
      </x:c>
      <x:c r="B66" s="11" t="str">
        <x:v>Caroline Wahl</x:v>
      </x:c>
      <x:c r="C66" s="11" t="str">
        <x:v>978-3-8321-6841-4</x:v>
      </x:c>
      <x:c r="D66" s="11" t="str">
        <x:v>DuMont Buchverlag</x:v>
      </x:c>
      <x:c r="E66" s="11" t="str">
        <x:v>Contemporary Fiction</x:v>
      </x:c>
      <x:c r="F66" s="11" t="str">
        <x:v>2024</x:v>
      </x:c>
      <x:c r="G66" s="14"/>
      <x:c r="H66" s="11" t="str">
        <x:v>Hardcover</x:v>
      </x:c>
      <x:c r="I66" s="11" t="str">
        <x:v>No</x:v>
      </x:c>
      <x:c r="J66" s="11"/>
      <x:c r="K66" s="11" t="str">
        <x:v>No</x:v>
      </x:c>
      <x:c r="L66" s="11" t="str">
        <x:v>https://www.borromedien.de/produkt-1/windstaerke_17/14536412</x:v>
      </x:c>
      <x:c r="M66" s="11"/>
      <x:c r="N66" s="11" t="str">
        <x:v>Core verified</x:v>
      </x:c>
      <x:c r="O66" s="11" t="str">
        <x:v>Relevant chart-era edition used; broad genre standardized for analysis.</x:v>
      </x:c>
    </x:row>
    <x:row r="67">
      <x:c r="A67" s="11" t="str">
        <x:v>Boys of Tommen 2: Keeping 13</x:v>
      </x:c>
      <x:c r="B67" s="11" t="str">
        <x:v>Chloe Walsh</x:v>
      </x:c>
      <x:c r="C67" s="11" t="str">
        <x:v>978-3-9858520-4-8</x:v>
      </x:c>
      <x:c r="D67" s="11" t="str">
        <x:v>Adrian &amp; Wimmelbuchverlag</x:v>
      </x:c>
      <x:c r="E67" s="11" t="str">
        <x:v>Romance / New Adult</x:v>
      </x:c>
      <x:c r="F67" s="11" t="str">
        <x:v>2024-07-18</x:v>
      </x:c>
      <x:c r="G67" s="14" t="n">
        <x:v>18.95</x:v>
      </x:c>
      <x:c r="H67" s="11" t="str">
        <x:v>Paperback</x:v>
      </x:c>
      <x:c r="I67" s="11" t="str">
        <x:v>Yes</x:v>
      </x:c>
      <x:c r="J67" s="11" t="n">
        <x:v>2</x:v>
      </x:c>
      <x:c r="K67" s="11" t="str">
        <x:v>No</x:v>
      </x:c>
      <x:c r="L67" s="11" t="str">
        <x:v>https://www.thalia.de/shop/home/artikeldetails/A1070075141</x:v>
      </x:c>
      <x:c r="M67" s="11" t="str">
        <x:v>Boys of Tommen</x:v>
      </x:c>
      <x:c r="N67" s="11" t="str">
        <x:v>Full verified</x:v>
      </x:c>
      <x:c r="O67" s="11" t="str">
        <x:v>Relevant German edition used; broad genre standardized for analysis.</x:v>
      </x:c>
    </x:row>
    <x:row r="68">
      <x:c r="A68" s="11" t="str">
        <x:v>Boys of Tommen 3: Saving 6</x:v>
      </x:c>
      <x:c r="B68" s="11" t="str">
        <x:v>Chloe Walsh</x:v>
      </x:c>
      <x:c r="C68" s="11" t="str">
        <x:v>978-3-9858520-5-5</x:v>
      </x:c>
      <x:c r="D68" s="11" t="str">
        <x:v>Adrian &amp; Wimmelbuchverlag</x:v>
      </x:c>
      <x:c r="E68" s="11" t="str">
        <x:v>Romance / New Adult</x:v>
      </x:c>
      <x:c r="F68" s="11" t="str">
        <x:v>2024-10-01</x:v>
      </x:c>
      <x:c r="G68" s="14" t="n">
        <x:v>17.95</x:v>
      </x:c>
      <x:c r="H68" s="11" t="str">
        <x:v>Paperback</x:v>
      </x:c>
      <x:c r="I68" s="11" t="str">
        <x:v>Yes</x:v>
      </x:c>
      <x:c r="J68" s="11" t="n">
        <x:v>3</x:v>
      </x:c>
      <x:c r="K68" s="11" t="str">
        <x:v>No</x:v>
      </x:c>
      <x:c r="L68" s="11" t="str">
        <x:v>https://www.thalia.de/shop/home/artikeldetails/EAN9783985852055</x:v>
      </x:c>
      <x:c r="M68" s="11" t="str">
        <x:v>Boys of Tommen</x:v>
      </x:c>
      <x:c r="N68" s="11" t="str">
        <x:v>Full verified</x:v>
      </x:c>
      <x:c r="O68" s="11" t="str">
        <x:v>Relevant German edition used; broad genre standardized for analysis.</x:v>
      </x:c>
    </x:row>
    <x:row r="69">
      <x:c r="A69" s="11" t="str">
        <x:v>Boys of Tommen 4: Redeeming 6</x:v>
      </x:c>
      <x:c r="B69" s="11" t="str">
        <x:v>Chloe Walsh</x:v>
      </x:c>
      <x:c r="C69" s="11" t="str">
        <x:v>978-3-98585-206-2</x:v>
      </x:c>
      <x:c r="D69" s="11" t="str">
        <x:v>adrian &amp; wimmelbuchverlag</x:v>
      </x:c>
      <x:c r="E69" s="11" t="str">
        <x:v>Romance / New Adult</x:v>
      </x:c>
      <x:c r="F69" s="11" t="str">
        <x:v>2025-01-21</x:v>
      </x:c>
      <x:c r="G69" s="14" t="n">
        <x:v>18.95</x:v>
      </x:c>
      <x:c r="H69" s="11" t="str">
        <x:v>Paperback</x:v>
      </x:c>
      <x:c r="I69" s="11" t="str">
        <x:v>Yes</x:v>
      </x:c>
      <x:c r="J69" s="11" t="n">
        <x:v>4</x:v>
      </x:c>
      <x:c r="K69" s="11" t="str">
        <x:v>No</x:v>
      </x:c>
      <x:c r="L69" s="11" t="str">
        <x:v>https://www.buch-ka.de/Boys-of-Tommen-4-Redeeming-6/9783985852062</x:v>
      </x:c>
      <x:c r="M69" s="11" t="str">
        <x:v>Boys of Tommen</x:v>
      </x:c>
      <x:c r="N69" s="11" t="str">
        <x:v>Full verified</x:v>
      </x:c>
      <x:c r="O69" s="11" t="str">
        <x:v>Relevant chart-era edition used; broad genre standardized for analysis.</x:v>
      </x:c>
    </x:row>
    <x:row r="70">
      <x:c r="A70" s="11" t="str">
        <x:v>Boys of Tommen 5: Taming 7</x:v>
      </x:c>
      <x:c r="B70" s="11" t="str">
        <x:v>Chloe Walsh</x:v>
      </x:c>
      <x:c r="C70" s="11" t="str">
        <x:v>978-3-98585-207-9</x:v>
      </x:c>
      <x:c r="D70" s="11" t="str">
        <x:v>adrian &amp; wimmelbuchverlag</x:v>
      </x:c>
      <x:c r="E70" s="11" t="str">
        <x:v>Romance / New Adult</x:v>
      </x:c>
      <x:c r="F70" s="11" t="str">
        <x:v>2025-07-18</x:v>
      </x:c>
      <x:c r="G70" s="14" t="n">
        <x:v>17.95</x:v>
      </x:c>
      <x:c r="H70" s="11" t="str">
        <x:v>Paperback</x:v>
      </x:c>
      <x:c r="I70" s="11" t="str">
        <x:v>Yes</x:v>
      </x:c>
      <x:c r="J70" s="11" t="n">
        <x:v>5</x:v>
      </x:c>
      <x:c r="K70" s="11" t="str">
        <x:v>No</x:v>
      </x:c>
      <x:c r="L70" s="11" t="str">
        <x:v>https://wimmelbuchverlag.de/wp-content/uploads/2024/06/Katalog_HERBST_2024_Wimmelbuchverlag.pdf</x:v>
      </x:c>
      <x:c r="M70" s="11" t="str">
        <x:v>Boys of Tommen</x:v>
      </x:c>
      <x:c r="N70" s="11" t="str">
        <x:v>Full verified</x:v>
      </x:c>
      <x:c r="O70" s="11" t="str">
        <x:v>Relevant chart-era edition used; broad genre standardized for analysis.</x:v>
      </x:c>
    </x:row>
    <x:row r="71">
      <x:c r="A71" s="11" t="str">
        <x:v>Boys of Tommen 6: Releasing 10</x:v>
      </x:c>
      <x:c r="B71" s="11" t="str">
        <x:v>Chloe Walsh</x:v>
      </x:c>
      <x:c r="C71" s="11" t="str">
        <x:v>978-3-98585-208-6</x:v>
      </x:c>
      <x:c r="D71" s="11" t="str">
        <x:v>adrian &amp; wimmelbuchverlag</x:v>
      </x:c>
      <x:c r="E71" s="11" t="str">
        <x:v>Romance / New Adult</x:v>
      </x:c>
      <x:c r="F71" s="11" t="str">
        <x:v>2025-11-18</x:v>
      </x:c>
      <x:c r="G71" s="14" t="n">
        <x:v>18.95</x:v>
      </x:c>
      <x:c r="H71" s="11" t="str">
        <x:v>Paperback</x:v>
      </x:c>
      <x:c r="I71" s="11" t="str">
        <x:v>Yes</x:v>
      </x:c>
      <x:c r="J71" s="11" t="n">
        <x:v>6</x:v>
      </x:c>
      <x:c r="K71" s="11" t="str">
        <x:v>No</x:v>
      </x:c>
      <x:c r="L71" s="11" t="str">
        <x:v>https://lesehits.de/Roman/boys-of-tommen-6-releasing-10_9783985852086.html</x:v>
      </x:c>
      <x:c r="M71" s="11" t="str">
        <x:v>Boys of Tommen</x:v>
      </x:c>
      <x:c r="N71" s="11" t="str">
        <x:v>Full verified</x:v>
      </x:c>
      <x:c r="O71" s="11" t="str">
        <x:v>Relevant chart-era edition used; broad genre standardized for analysis.</x:v>
      </x:c>
    </x:row>
    <x:row r="72">
      <x:c r="A72" s="11" t="str">
        <x:v>The Paradise Problem - Wenn das Herz den perfekten Plan durchkreuzt</x:v>
      </x:c>
      <x:c r="B72" s="11" t="str">
        <x:v>Christina Lauren</x:v>
      </x:c>
      <x:c r="C72" s="11" t="str">
        <x:v>978-3-492-06610-5</x:v>
      </x:c>
      <x:c r="D72" s="11" t="str">
        <x:v>everlove / Piper</x:v>
      </x:c>
      <x:c r="E72" s="11" t="str">
        <x:v>Romance / Contemporary</x:v>
      </x:c>
      <x:c r="F72" s="11" t="str">
        <x:v>2025-05-30</x:v>
      </x:c>
      <x:c r="G72" s="14" t="n">
        <x:v>17</x:v>
      </x:c>
      <x:c r="H72" s="11" t="str">
        <x:v>Klappenbroschur</x:v>
      </x:c>
      <x:c r="I72" s="11" t="str">
        <x:v>No</x:v>
      </x:c>
      <x:c r="J72" s="11"/>
      <x:c r="K72" s="11" t="str">
        <x:v>No</x:v>
      </x:c>
      <x:c r="L72" s="11" t="str">
        <x:v>https://www.piper.de/buecher/the-paradise-problem-wenn-das-herz-den-perfekten-plan-durchkreuzt-isbn-978-3-492-06610-5</x:v>
      </x:c>
      <x:c r="M72" s="11"/>
      <x:c r="N72" s="11" t="str">
        <x:v>Full verified</x:v>
      </x:c>
      <x:c r="O72" s="11" t="str">
        <x:v>Relevant chart-era edition used; broad genre standardized for analysis.</x:v>
      </x:c>
    </x:row>
    <x:row r="73">
      <x:c r="A73" s="11" t="str">
        <x:v>The Unhoneymooners - Sie können sich nicht ausstehen ...</x:v>
      </x:c>
      <x:c r="B73" s="11" t="str">
        <x:v>Christina Lauren</x:v>
      </x:c>
      <x:c r="C73" s="11" t="str">
        <x:v>978-3-492-06408-8</x:v>
      </x:c>
      <x:c r="D73" s="11" t="str">
        <x:v>everlove by Piper</x:v>
      </x:c>
      <x:c r="E73" s="11" t="str">
        <x:v>Romance / Contemporary</x:v>
      </x:c>
      <x:c r="F73" s="11" t="str">
        <x:v>2023-06-01</x:v>
      </x:c>
      <x:c r="G73" s="14" t="n">
        <x:v>15</x:v>
      </x:c>
      <x:c r="H73" s="11" t="str">
        <x:v>Paperback</x:v>
      </x:c>
      <x:c r="I73" s="11" t="str">
        <x:v>No</x:v>
      </x:c>
      <x:c r="J73" s="11"/>
      <x:c r="K73" s="11" t="str">
        <x:v>No</x:v>
      </x:c>
      <x:c r="L73" s="11" t="str">
        <x:v>https://www.piper.de/buecher/the-unhoneymooners-sie-koennen-sich-nicht-ausstehen-und-fliegen-gemeinsam-in-die-flitterwochen-isbn-978-3-492-06408-8</x:v>
      </x:c>
      <x:c r="M73" s="11"/>
      <x:c r="N73" s="11" t="str">
        <x:v>Full verified</x:v>
      </x:c>
      <x:c r="O73" s="11" t="str">
        <x:v>Genre is a standardized analytical category for this project.</x:v>
      </x:c>
    </x:row>
    <x:row r="74">
      <x:c r="A74" s="11" t="str">
        <x:v>Murtagh - Eine dunkle Bedrohung</x:v>
      </x:c>
      <x:c r="B74" s="11" t="str">
        <x:v>Christopher Paolini</x:v>
      </x:c>
      <x:c r="C74" s="11" t="str">
        <x:v>978-3-570-16710-6</x:v>
      </x:c>
      <x:c r="D74" s="11" t="str">
        <x:v>cbj</x:v>
      </x:c>
      <x:c r="E74" s="11" t="str">
        <x:v>Fantasy</x:v>
      </x:c>
      <x:c r="F74" s="11" t="str">
        <x:v>2023-11-07</x:v>
      </x:c>
      <x:c r="G74" s="14" t="n">
        <x:v>26</x:v>
      </x:c>
      <x:c r="H74" s="11" t="str">
        <x:v>Hardcover</x:v>
      </x:c>
      <x:c r="I74" s="11" t="str">
        <x:v>Yes</x:v>
      </x:c>
      <x:c r="J74" s="11" t="n">
        <x:v>5</x:v>
      </x:c>
      <x:c r="K74" s="11" t="str">
        <x:v>No</x:v>
      </x:c>
      <x:c r="L74" s="11" t="str">
        <x:v>https://www.thalia.de/shop/home/artikeldetails/A1068244586</x:v>
      </x:c>
      <x:c r="M74" s="11" t="str">
        <x:v>World of Eragon</x:v>
      </x:c>
      <x:c r="N74" s="11" t="str">
        <x:v>Full verified</x:v>
      </x:c>
      <x:c r="O74" s="11" t="str">
        <x:v>Genre is a standardized analytical category for this project.</x:v>
      </x:c>
    </x:row>
    <x:row r="75">
      <x:c r="A75" s="11" t="str">
        <x:v>Wehe du gibst auf</x:v>
      </x:c>
      <x:c r="B75" s="11" t="str">
        <x:v>Clara Lösel</x:v>
      </x:c>
      <x:c r="C75" s="11" t="str">
        <x:v>978-3-689-69021-2</x:v>
      </x:c>
      <x:c r="D75" s="11" t="str">
        <x:v>NOW</x:v>
      </x:c>
      <x:c r="E75" s="11" t="str">
        <x:v>Self-Help / Inspiration</x:v>
      </x:c>
      <x:c r="F75" s="11" t="str">
        <x:v>2025-04-08</x:v>
      </x:c>
      <x:c r="G75" s="14"/>
      <x:c r="H75" s="11" t="str">
        <x:v>Hardcover</x:v>
      </x:c>
      <x:c r="I75" s="11" t="str">
        <x:v>No</x:v>
      </x:c>
      <x:c r="J75" s="11"/>
      <x:c r="K75" s="11" t="str">
        <x:v>No</x:v>
      </x:c>
      <x:c r="L75" s="11" t="str">
        <x:v>https://www.thalia.de/shop/home/artikeldetails/A1073156889</x:v>
      </x:c>
      <x:c r="M75" s="11"/>
      <x:c r="N75" s="11" t="str">
        <x:v>Full verified</x:v>
      </x:c>
      <x:c r="O75" s="11" t="str">
        <x:v>Relevant chart-era edition used; broad genre standardized for analysis.</x:v>
      </x:c>
    </x:row>
    <x:row r="76">
      <x:c r="A76" s="11" t="str">
        <x:v>Glück ist ganz nach meinem Geschmack</x:v>
      </x:c>
      <x:c r="B76" s="11" t="str">
        <x:v>Claudia Schaumann</x:v>
      </x:c>
      <x:c r="C76" s="11" t="str">
        <x:v>978-3-442-49599-3</x:v>
      </x:c>
      <x:c r="D76" s="11" t="str">
        <x:v>Goldmann</x:v>
      </x:c>
      <x:c r="E76" s="11" t="str">
        <x:v>Contemporary Fiction</x:v>
      </x:c>
      <x:c r="F76" s="11" t="str">
        <x:v>2025</x:v>
      </x:c>
      <x:c r="G76" s="14"/>
      <x:c r="H76" s="11" t="str">
        <x:v>Taschenbuch</x:v>
      </x:c>
      <x:c r="I76" s="11" t="str">
        <x:v>No</x:v>
      </x:c>
      <x:c r="J76" s="11"/>
      <x:c r="K76" s="11" t="str">
        <x:v>No</x:v>
      </x:c>
      <x:c r="L76" s="11" t="str">
        <x:v>https://books.google.com/books/about/Gl%C3%BCck_ist_ganz_nach_meinem_Geschmack.html?id=zsAA0QEACAAJ</x:v>
      </x:c>
      <x:c r="M76" s="11"/>
      <x:c r="N76" s="11" t="str">
        <x:v>Core verified</x:v>
      </x:c>
      <x:c r="O76" s="11" t="str">
        <x:v>Relevant chart-era edition used; broad genre standardized for analysis.</x:v>
      </x:c>
    </x:row>
    <x:row r="77">
      <x:c r="A77" s="11" t="str">
        <x:v>It starts with us - Nur noch einmal und für immer</x:v>
      </x:c>
      <x:c r="B77" s="11" t="str">
        <x:v>Colleen Hoover</x:v>
      </x:c>
      <x:c r="C77" s="11" t="str">
        <x:v>978-3-423-28311-3</x:v>
      </x:c>
      <x:c r="D77" s="11" t="str">
        <x:v>dtv</x:v>
      </x:c>
      <x:c r="E77" s="11" t="str">
        <x:v>Romance / Contemporary</x:v>
      </x:c>
      <x:c r="F77" s="11" t="str">
        <x:v>2022-10-18</x:v>
      </x:c>
      <x:c r="G77" s="14" t="n">
        <x:v>20</x:v>
      </x:c>
      <x:c r="H77" s="11" t="str">
        <x:v>Hardcover</x:v>
      </x:c>
      <x:c r="I77" s="11" t="str">
        <x:v>Yes</x:v>
      </x:c>
      <x:c r="J77" s="11" t="n">
        <x:v>2</x:v>
      </x:c>
      <x:c r="K77" s="11"/>
      <x:c r="L77" s="11" t="str">
        <x:v>https://www.thalia.de/shop/home/artikeldetails/A1063314170</x:v>
      </x:c>
      <x:c r="M77" s="11" t="str">
        <x:v>Lily, Ryle und Atlas</x:v>
      </x:c>
      <x:c r="N77" s="11" t="str">
        <x:v>Full verified</x:v>
      </x:c>
      <x:c r="O77" s="11" t="str">
        <x:v>Genre is a standardized analytical category for this project.</x:v>
      </x:c>
    </x:row>
    <x:row r="78">
      <x:c r="A78" s="11" t="str">
        <x:v>Nur noch ein einziges Mal</x:v>
      </x:c>
      <x:c r="B78" s="11" t="str">
        <x:v>Colleen Hoover</x:v>
      </x:c>
      <x:c r="C78" s="11" t="str">
        <x:v>978-3-423-71862-2</x:v>
      </x:c>
      <x:c r="D78" s="11" t="str">
        <x:v>dtv</x:v>
      </x:c>
      <x:c r="E78" s="11" t="str">
        <x:v>Romance / Contemporary</x:v>
      </x:c>
      <x:c r="F78" s="11" t="str">
        <x:v>2020-11-13</x:v>
      </x:c>
      <x:c r="G78" s="14" t="n">
        <x:v>12.95</x:v>
      </x:c>
      <x:c r="H78" s="11" t="str">
        <x:v>Taschenbuch</x:v>
      </x:c>
      <x:c r="I78" s="11" t="str">
        <x:v>Yes</x:v>
      </x:c>
      <x:c r="J78" s="11" t="n">
        <x:v>1</x:v>
      </x:c>
      <x:c r="K78" s="11"/>
      <x:c r="L78" s="11" t="str">
        <x:v>https://www.dtv.de/buch/nur-noch-ein-einziges-mal</x:v>
      </x:c>
      <x:c r="M78" s="11" t="str">
        <x:v>Lily, Ryle und Atlas</x:v>
      </x:c>
      <x:c r="N78" s="11" t="str">
        <x:v>Full verified</x:v>
      </x:c>
      <x:c r="O78" s="11" t="str">
        <x:v>Genre is a standardized analytical category for this project.</x:v>
      </x:c>
    </x:row>
    <x:row r="79">
      <x:c r="A79" s="11" t="str">
        <x:v>Nur noch wenige Tage</x:v>
      </x:c>
      <x:c r="B79" s="11" t="str">
        <x:v>Colleen Hoover</x:v>
      </x:c>
      <x:c r="C79" s="11" t="str">
        <x:v>978-3-423-43985-5</x:v>
      </x:c>
      <x:c r="D79" s="11" t="str">
        <x:v>dtv</x:v>
      </x:c>
      <x:c r="E79" s="11" t="str">
        <x:v>Romance / Contemporary</x:v>
      </x:c>
      <x:c r="F79" s="11" t="str">
        <x:v>2024-10-17</x:v>
      </x:c>
      <x:c r="G79" s="14" t="n">
        <x:v>9.99</x:v>
      </x:c>
      <x:c r="H79" s="11" t="str">
        <x:v>eBook</x:v>
      </x:c>
      <x:c r="I79" s="11" t="str">
        <x:v>No</x:v>
      </x:c>
      <x:c r="J79" s="11"/>
      <x:c r="K79" s="11" t="str">
        <x:v>No</x:v>
      </x:c>
      <x:c r="L79" s="11" t="str">
        <x:v>https://www.dtv.de/product/019198e4c31073ba92a83cfbe99c0337/pdf-download</x:v>
      </x:c>
      <x:c r="M79" s="11"/>
      <x:c r="N79" s="11" t="str">
        <x:v>Full verified</x:v>
      </x:c>
      <x:c r="O79" s="11" t="str">
        <x:v>Relevant German edition used; broad genre standardized for analysis.</x:v>
      </x:c>
    </x:row>
    <x:row r="80">
      <x:c r="A80" s="11" t="str">
        <x:v>Reminders of Him - Für immer ein Teil von dir</x:v>
      </x:c>
      <x:c r="B80" s="11" t="str">
        <x:v>Colleen Hoover</x:v>
      </x:c>
      <x:c r="C80" s="11" t="str">
        <x:v>978-3-423-22169-6</x:v>
      </x:c>
      <x:c r="D80" s="11" t="str">
        <x:v>dtv</x:v>
      </x:c>
      <x:c r="E80" s="11" t="str">
        <x:v>Romance / Contemporary</x:v>
      </x:c>
      <x:c r="F80" s="11" t="str">
        <x:v>2026-01-29</x:v>
      </x:c>
      <x:c r="G80" s="14" t="n">
        <x:v>13</x:v>
      </x:c>
      <x:c r="H80" s="11" t="str">
        <x:v>Taschenbuch mit Klappe</x:v>
      </x:c>
      <x:c r="I80" s="11" t="str">
        <x:v>No</x:v>
      </x:c>
      <x:c r="J80" s="11"/>
      <x:c r="K80" s="11" t="str">
        <x:v>No</x:v>
      </x:c>
      <x:c r="L80" s="11" t="str">
        <x:v>https://www.dtv.de/buch/reminders-of-him-fuer-immer-ein-teil-von-dir-22169</x:v>
      </x:c>
      <x:c r="M80" s="11"/>
      <x:c r="N80" s="11" t="str">
        <x:v>Full verified</x:v>
      </x:c>
      <x:c r="O80" s="11" t="str">
        <x:v>Relevant chart-era edition used; broad genre standardized for analysis.</x:v>
      </x:c>
    </x:row>
    <x:row r="81">
      <x:c r="A81" s="11" t="str">
        <x:v>Verity</x:v>
      </x:c>
      <x:c r="B81" s="11" t="str">
        <x:v>Colleen Hoover</x:v>
      </x:c>
      <x:c r="C81" s="11" t="str">
        <x:v>978-3-423-23012-4</x:v>
      </x:c>
      <x:c r="D81" s="11" t="str">
        <x:v>dtv</x:v>
      </x:c>
      <x:c r="E81" s="11" t="str">
        <x:v>Thriller / Suspense</x:v>
      </x:c>
      <x:c r="F81" s="11" t="str">
        <x:v>2020</x:v>
      </x:c>
      <x:c r="G81" s="14"/>
      <x:c r="H81" s="11" t="str">
        <x:v>Paperback</x:v>
      </x:c>
      <x:c r="I81" s="11" t="str">
        <x:v>No</x:v>
      </x:c>
      <x:c r="J81" s="11"/>
      <x:c r="K81" s="11" t="str">
        <x:v>No</x:v>
      </x:c>
      <x:c r="L81" s="11" t="str">
        <x:v>https://books.google.com/books/about/Verity.html?id=-5oZywEACAAJ</x:v>
      </x:c>
      <x:c r="M81" s="11"/>
      <x:c r="N81" s="11" t="str">
        <x:v>Full verified</x:v>
      </x:c>
      <x:c r="O81" s="11" t="str">
        <x:v>Genre is a standardized analytical category for this project.</x:v>
      </x:c>
    </x:row>
    <x:row r="82">
      <x:c r="A82" s="11" t="str">
        <x:v>Woman Down</x:v>
      </x:c>
      <x:c r="B82" s="11" t="str">
        <x:v>Colleen Hoover</x:v>
      </x:c>
      <x:c r="C82" s="11" t="str">
        <x:v>978-3-423-28549-0</x:v>
      </x:c>
      <x:c r="D82" s="11" t="str">
        <x:v>dtv</x:v>
      </x:c>
      <x:c r="E82" s="11" t="str">
        <x:v>Thriller / Romance</x:v>
      </x:c>
      <x:c r="F82" s="11" t="str">
        <x:v>2026-01-13</x:v>
      </x:c>
      <x:c r="G82" s="14" t="n">
        <x:v>23</x:v>
      </x:c>
      <x:c r="H82" s="11" t="str">
        <x:v>Hardcover</x:v>
      </x:c>
      <x:c r="I82" s="11" t="str">
        <x:v>No</x:v>
      </x:c>
      <x:c r="J82" s="11"/>
      <x:c r="K82" s="11" t="str">
        <x:v>No</x:v>
      </x:c>
      <x:c r="L82" s="11" t="str">
        <x:v>https://www.dtv.de/buch/woman-down-28549</x:v>
      </x:c>
      <x:c r="M82" s="11"/>
      <x:c r="N82" s="11" t="str">
        <x:v>Full verified</x:v>
      </x:c>
      <x:c r="O82" s="11" t="str">
        <x:v>Relevant chart-era edition used; broad genre standardized for analysis.</x:v>
      </x:c>
    </x:row>
    <x:row r="83">
      <x:c r="A83" s="11" t="str">
        <x:v>Zurück ins Leben geliebt</x:v>
      </x:c>
      <x:c r="B83" s="11" t="str">
        <x:v>Colleen Hoover</x:v>
      </x:c>
      <x:c r="C83" s="11" t="str">
        <x:v>978-3-423-21997-6</x:v>
      </x:c>
      <x:c r="D83" s="11" t="str">
        <x:v>dtv</x:v>
      </x:c>
      <x:c r="E83" s="11" t="str">
        <x:v>Romance / Contemporary</x:v>
      </x:c>
      <x:c r="F83" s="11" t="str">
        <x:v>2022-02-16</x:v>
      </x:c>
      <x:c r="G83" s="14" t="n">
        <x:v>13</x:v>
      </x:c>
      <x:c r="H83" s="11" t="str">
        <x:v>Paperback</x:v>
      </x:c>
      <x:c r="I83" s="11" t="str">
        <x:v>No</x:v>
      </x:c>
      <x:c r="J83" s="11"/>
      <x:c r="K83" s="11" t="str">
        <x:v>No</x:v>
      </x:c>
      <x:c r="L83" s="11" t="str">
        <x:v>https://www.dtv.de/buch/zurueck-ins-leben-geliebt-21997</x:v>
      </x:c>
      <x:c r="M83" s="11"/>
      <x:c r="N83" s="11" t="str">
        <x:v>Full verified</x:v>
      </x:c>
      <x:c r="O83" s="11" t="str">
        <x:v>Genre is a standardized analytical category for this project.</x:v>
      </x:c>
    </x:row>
    <x:row r="84">
      <x:c r="A84" s="11" t="str">
        <x:v>Tintenwelt 4. Die Farbe der Rache</x:v>
      </x:c>
      <x:c r="B84" s="11" t="str">
        <x:v>Cornelia Funke</x:v>
      </x:c>
      <x:c r="C84" s="11" t="str">
        <x:v>978-3-7513-0007-0</x:v>
      </x:c>
      <x:c r="D84" s="11" t="str">
        <x:v>Dressler Verlag</x:v>
      </x:c>
      <x:c r="E84" s="11" t="str">
        <x:v>Fantasy / YA</x:v>
      </x:c>
      <x:c r="F84" s="11" t="str">
        <x:v>2023-10-12</x:v>
      </x:c>
      <x:c r="G84" s="14" t="n">
        <x:v>23</x:v>
      </x:c>
      <x:c r="H84" s="11" t="str">
        <x:v>Hardcover</x:v>
      </x:c>
      <x:c r="I84" s="11" t="str">
        <x:v>Yes</x:v>
      </x:c>
      <x:c r="J84" s="11" t="n">
        <x:v>4</x:v>
      </x:c>
      <x:c r="K84" s="11" t="str">
        <x:v>No</x:v>
      </x:c>
      <x:c r="L84" s="11" t="str">
        <x:v>https://www.oetinger.de/sites/default/files/download/DRV_Pressemappe_Funke_Tintenwelt_Die%20Farbe%20der%20Rache.pdf</x:v>
      </x:c>
      <x:c r="M84" s="11" t="str">
        <x:v>Tintenwelt</x:v>
      </x:c>
      <x:c r="N84" s="11" t="str">
        <x:v>Full verified</x:v>
      </x:c>
      <x:c r="O84" s="11" t="str">
        <x:v>Genre is a standardized analytical category for this project.</x:v>
      </x:c>
    </x:row>
    <x:row r="85">
      <x:c r="A85" s="11" t="str">
        <x:v>Silver Elite</x:v>
      </x:c>
      <x:c r="B85" s="11" t="str">
        <x:v>Dani Francis</x:v>
      </x:c>
      <x:c r="C85" s="11" t="str">
        <x:v>978-3-7363-2369-8</x:v>
      </x:c>
      <x:c r="D85" s="11" t="str">
        <x:v>LYX / Bastei Lübbe</x:v>
      </x:c>
      <x:c r="E85" s="11" t="str">
        <x:v>Fantasy / Dystopian Romance</x:v>
      </x:c>
      <x:c r="F85" s="11" t="str">
        <x:v>2025-09-16</x:v>
      </x:c>
      <x:c r="G85" s="14"/>
      <x:c r="H85" s="11" t="str">
        <x:v>Paperback</x:v>
      </x:c>
      <x:c r="I85" s="11" t="str">
        <x:v>Yes</x:v>
      </x:c>
      <x:c r="J85" s="11" t="n">
        <x:v>1</x:v>
      </x:c>
      <x:c r="K85" s="11" t="str">
        <x:v>No</x:v>
      </x:c>
      <x:c r="L85" s="11" t="str">
        <x:v>https://books.google.com/books/about/Silver_Elite.html?id=7wpgEQAAQBAJ</x:v>
      </x:c>
      <x:c r="M85" s="11" t="str">
        <x:v>Silver Elite</x:v>
      </x:c>
      <x:c r="N85" s="11" t="str">
        <x:v>Full verified</x:v>
      </x:c>
      <x:c r="O85" s="11" t="str">
        <x:v>Relevant chart-era edition used; broad genre standardized for analysis.</x:v>
      </x:c>
    </x:row>
    <x:row r="86">
      <x:c r="A86" s="11" t="str">
        <x:v>Die Meerglas-Schwestern</x:v>
      </x:c>
      <x:c r="B86" s="11" t="str">
        <x:v>Eleanor Buchanan</x:v>
      </x:c>
      <x:c r="C86" s="11" t="str">
        <x:v>978-3-7341-1554-7</x:v>
      </x:c>
      <x:c r="D86" s="11" t="str">
        <x:v>Blanvalet</x:v>
      </x:c>
      <x:c r="E86" s="11" t="str">
        <x:v>Historical / Contemporary Fiction</x:v>
      </x:c>
      <x:c r="F86" s="11" t="str">
        <x:v>2026-05-27</x:v>
      </x:c>
      <x:c r="G86" s="14" t="n">
        <x:v>13</x:v>
      </x:c>
      <x:c r="H86" s="11" t="str">
        <x:v>Paperback</x:v>
      </x:c>
      <x:c r="I86" s="11" t="str">
        <x:v>Yes</x:v>
      </x:c>
      <x:c r="J86" s="11" t="n">
        <x:v>1</x:v>
      </x:c>
      <x:c r="K86" s="11" t="str">
        <x:v>No</x:v>
      </x:c>
      <x:c r="L86" s="11" t="str">
        <x:v>https://www.thalia.de/shop/home/artikeldetails/A1077077428</x:v>
      </x:c>
      <x:c r="M86" s="11" t="str">
        <x:v>Die Töchter von Skara</x:v>
      </x:c>
      <x:c r="N86" s="11" t="str">
        <x:v>Full verified</x:v>
      </x:c>
      <x:c r="O86" s="11" t="str">
        <x:v>Relevant chart-era edition used; broad genre standardized for analysis.</x:v>
      </x:c>
    </x:row>
    <x:row r="87">
      <x:c r="A87" s="11" t="str">
        <x:v>Das Versprechen eines Sommertags</x:v>
      </x:c>
      <x:c r="B87" s="11" t="str">
        <x:v>Elena Sonnberg</x:v>
      </x:c>
      <x:c r="C87" s="11" t="str">
        <x:v>978-3-442-49561-0</x:v>
      </x:c>
      <x:c r="D87" s="11" t="str">
        <x:v>Goldmann</x:v>
      </x:c>
      <x:c r="E87" s="11" t="str">
        <x:v>Romance / Contemporary</x:v>
      </x:c>
      <x:c r="F87" s="11" t="str">
        <x:v>2025-05-21</x:v>
      </x:c>
      <x:c r="G87" s="14" t="n">
        <x:v>12</x:v>
      </x:c>
      <x:c r="H87" s="11" t="str">
        <x:v>Taschenbuch</x:v>
      </x:c>
      <x:c r="I87" s="11" t="str">
        <x:v>No</x:v>
      </x:c>
      <x:c r="J87" s="11"/>
      <x:c r="K87" s="11" t="str">
        <x:v>No</x:v>
      </x:c>
      <x:c r="L87" s="11" t="str">
        <x:v>https://www.thalia.de/shop/home/artikeldetails/A1073380518</x:v>
      </x:c>
      <x:c r="M87" s="11"/>
      <x:c r="N87" s="11" t="str">
        <x:v>Full verified</x:v>
      </x:c>
      <x:c r="O87" s="11" t="str">
        <x:v>Relevant chart-era edition used; broad genre standardized for analysis.</x:v>
      </x:c>
    </x:row>
    <x:row r="88">
      <x:c r="A88" s="11" t="str">
        <x:v>Arcana Academy 1: Arcana Academy</x:v>
      </x:c>
      <x:c r="B88" s="11" t="str">
        <x:v>Elise Kova</x:v>
      </x:c>
      <x:c r="C88" s="11" t="str">
        <x:v>978-3-551-55944-9</x:v>
      </x:c>
      <x:c r="D88" s="11" t="str">
        <x:v>Carlsen</x:v>
      </x:c>
      <x:c r="E88" s="11" t="str">
        <x:v>Fantasy / Romantasy</x:v>
      </x:c>
      <x:c r="F88" s="11" t="str">
        <x:v>2025-10-13</x:v>
      </x:c>
      <x:c r="G88" s="14" t="n">
        <x:v>26</x:v>
      </x:c>
      <x:c r="H88" s="11" t="str">
        <x:v>Hardcover</x:v>
      </x:c>
      <x:c r="I88" s="11" t="str">
        <x:v>Yes</x:v>
      </x:c>
      <x:c r="J88" s="11" t="n">
        <x:v>1</x:v>
      </x:c>
      <x:c r="K88" s="11" t="str">
        <x:v>No</x:v>
      </x:c>
      <x:c r="L88" s="11" t="str">
        <x:v>https://www.carlsen.de/hardcover/arcana-academy-1-arcana-academy/978-3-551-55944-9</x:v>
      </x:c>
      <x:c r="M88" s="11" t="str">
        <x:v>Arcana Academy</x:v>
      </x:c>
      <x:c r="N88" s="11" t="str">
        <x:v>Full verified</x:v>
      </x:c>
      <x:c r="O88" s="11" t="str">
        <x:v>Relevant chart-era edition used; broad genre standardized for analysis.</x:v>
      </x:c>
    </x:row>
    <x:row r="89">
      <x:c r="A89" s="11" t="str">
        <x:v>Married into Magic: Dance with the Fae Prince</x:v>
      </x:c>
      <x:c r="B89" s="11" t="str">
        <x:v>Elise Kova</x:v>
      </x:c>
      <x:c r="C89" s="11" t="str">
        <x:v>978-3-551-58581-3</x:v>
      </x:c>
      <x:c r="D89" s="11" t="str">
        <x:v>Carlsen</x:v>
      </x:c>
      <x:c r="E89" s="11" t="str">
        <x:v>Fantasy / Romantasy</x:v>
      </x:c>
      <x:c r="F89" s="11" t="str">
        <x:v>2025-05-02</x:v>
      </x:c>
      <x:c r="G89" s="14" t="n">
        <x:v>17</x:v>
      </x:c>
      <x:c r="H89" s="11" t="str">
        <x:v>Softcover</x:v>
      </x:c>
      <x:c r="I89" s="11" t="str">
        <x:v>Yes</x:v>
      </x:c>
      <x:c r="J89" s="11" t="n">
        <x:v>2</x:v>
      </x:c>
      <x:c r="K89" s="11" t="str">
        <x:v>No</x:v>
      </x:c>
      <x:c r="L89" s="11" t="str">
        <x:v>https://www.carlsen.de/softcover/married-magic-dance-fae-prince/978-3-551-58581-3</x:v>
      </x:c>
      <x:c r="M89" s="11" t="str">
        <x:v>Married into Magic</x:v>
      </x:c>
      <x:c r="N89" s="11" t="str">
        <x:v>Full verified</x:v>
      </x:c>
      <x:c r="O89" s="11" t="str">
        <x:v>Relevant chart-era edition used; broad genre standardized for analysis.</x:v>
      </x:c>
    </x:row>
    <x:row r="90">
      <x:c r="A90" s="11" t="str">
        <x:v>Married into Magic: Deal with the Elf King</x:v>
      </x:c>
      <x:c r="B90" s="11" t="str">
        <x:v>Elise Kova</x:v>
      </x:c>
      <x:c r="C90" s="11" t="str">
        <x:v>978-3-551-58483-0</x:v>
      </x:c>
      <x:c r="D90" s="11" t="str">
        <x:v>Carlsen</x:v>
      </x:c>
      <x:c r="E90" s="11" t="str">
        <x:v>Fantasy / Romantasy</x:v>
      </x:c>
      <x:c r="F90" s="11" t="str">
        <x:v>2025-01-09</x:v>
      </x:c>
      <x:c r="G90" s="14" t="n">
        <x:v>17</x:v>
      </x:c>
      <x:c r="H90" s="11" t="str">
        <x:v>Softcover</x:v>
      </x:c>
      <x:c r="I90" s="11" t="str">
        <x:v>Yes</x:v>
      </x:c>
      <x:c r="J90" s="11" t="n">
        <x:v>1</x:v>
      </x:c>
      <x:c r="K90" s="11" t="str">
        <x:v>No</x:v>
      </x:c>
      <x:c r="L90" s="11" t="str">
        <x:v>https://www.carlsen.de/softcover/married-magic-deal-elf-king/978-3-551-58483-0</x:v>
      </x:c>
      <x:c r="M90" s="11" t="str">
        <x:v>Married into Magic</x:v>
      </x:c>
      <x:c r="N90" s="11" t="str">
        <x:v>Full verified</x:v>
      </x:c>
      <x:c r="O90" s="11" t="str">
        <x:v>Relevant chart-era edition used; broad genre standardized for analysis.</x:v>
      </x:c>
    </x:row>
    <x:row r="91">
      <x:c r="A91" s="11" t="str">
        <x:v>The Chase - Gegensätze ziehen sich an</x:v>
      </x:c>
      <x:c r="B91" s="11" t="str">
        <x:v>Elle Kennedy</x:v>
      </x:c>
      <x:c r="C91" s="11" t="str">
        <x:v>978-3-492-06721-8</x:v>
      </x:c>
      <x:c r="D91" s="11" t="str">
        <x:v>everlove / Piper</x:v>
      </x:c>
      <x:c r="E91" s="11" t="str">
        <x:v>Romance / New Adult</x:v>
      </x:c>
      <x:c r="F91" s="11" t="str">
        <x:v>2024-10-25</x:v>
      </x:c>
      <x:c r="G91" s="14" t="n">
        <x:v>15</x:v>
      </x:c>
      <x:c r="H91" s="11" t="str">
        <x:v>Paperback</x:v>
      </x:c>
      <x:c r="I91" s="11" t="str">
        <x:v>Yes</x:v>
      </x:c>
      <x:c r="J91" s="11" t="n">
        <x:v>1</x:v>
      </x:c>
      <x:c r="K91" s="11" t="str">
        <x:v>No</x:v>
      </x:c>
      <x:c r="L91" s="11" t="str">
        <x:v>https://www.piper.de/buecher/the-chase-gegensaetze-ziehen-sich-an-isbn-978-3-...</x:v>
      </x:c>
      <x:c r="M91" s="11" t="str">
        <x:v>Briar U</x:v>
      </x:c>
      <x:c r="N91" s="11" t="str">
        <x:v>Full verified</x:v>
      </x:c>
      <x:c r="O91" s="11" t="str">
        <x:v>Relevant German edition used; broad genre standardized for analysis.</x:v>
      </x:c>
    </x:row>
    <x:row r="92">
      <x:c r="A92" s="11" t="str">
        <x:v>The Deal - Reine Verhandlungssache</x:v>
      </x:c>
      <x:c r="B92" s="11" t="str">
        <x:v>Elle Kennedy</x:v>
      </x:c>
      <x:c r="C92" s="11" t="str">
        <x:v>978-3-492-07531-2</x:v>
      </x:c>
      <x:c r="D92" s="11" t="str">
        <x:v>everlove / Piper</x:v>
      </x:c>
      <x:c r="E92" s="11" t="str">
        <x:v>Sports Romance / New Adult</x:v>
      </x:c>
      <x:c r="F92" s="11" t="str">
        <x:v>2026-04-30</x:v>
      </x:c>
      <x:c r="G92" s="14" t="n">
        <x:v>22</x:v>
      </x:c>
      <x:c r="H92" s="11" t="str">
        <x:v>Hardcover</x:v>
      </x:c>
      <x:c r="I92" s="11" t="str">
        <x:v>Yes</x:v>
      </x:c>
      <x:c r="J92" s="11" t="n">
        <x:v>1</x:v>
      </x:c>
      <x:c r="K92" s="11" t="str">
        <x:v>No</x:v>
      </x:c>
      <x:c r="L92" s="11" t="str">
        <x:v>https://www.piper.de/buecher/the-deal-reine-verhandlungssache-isbn-978-3-492-07531-2</x:v>
      </x:c>
      <x:c r="M92" s="11" t="str">
        <x:v>Off-Campus</x:v>
      </x:c>
      <x:c r="N92" s="11" t="str">
        <x:v>Full verified</x:v>
      </x:c>
      <x:c r="O92" s="11" t="str">
        <x:v>Relevant chart-era edition used; broad genre standardized for analysis.</x:v>
      </x:c>
    </x:row>
    <x:row r="93">
      <x:c r="A93" s="11" t="str">
        <x:v>The Mistake - Niemand ist perfekt</x:v>
      </x:c>
      <x:c r="B93" s="11" t="str">
        <x:v>Elle Kennedy</x:v>
      </x:c>
      <x:c r="C93" s="11" t="str">
        <x:v>978-3-492-07532-9</x:v>
      </x:c>
      <x:c r="D93" s="11" t="str">
        <x:v>everlove / Piper</x:v>
      </x:c>
      <x:c r="E93" s="11" t="str">
        <x:v>Sports Romance / New Adult</x:v>
      </x:c>
      <x:c r="F93" s="11" t="str">
        <x:v>2026-04-30</x:v>
      </x:c>
      <x:c r="G93" s="14" t="n">
        <x:v>22</x:v>
      </x:c>
      <x:c r="H93" s="11" t="str">
        <x:v>Hardcover</x:v>
      </x:c>
      <x:c r="I93" s="11" t="str">
        <x:v>Yes</x:v>
      </x:c>
      <x:c r="J93" s="11" t="n">
        <x:v>2</x:v>
      </x:c>
      <x:c r="K93" s="11" t="str">
        <x:v>No</x:v>
      </x:c>
      <x:c r="L93" s="11" t="str">
        <x:v>https://www.piper.de/buecher/the-mistake-niemand-ist-perfekt-isbn-978-3-492-07532-9</x:v>
      </x:c>
      <x:c r="M93" s="11" t="str">
        <x:v>Off-Campus</x:v>
      </x:c>
      <x:c r="N93" s="11" t="str">
        <x:v>Full verified</x:v>
      </x:c>
      <x:c r="O93" s="11" t="str">
        <x:v>Relevant chart-era edition used; broad genre standardized for analysis.</x:v>
      </x:c>
    </x:row>
    <x:row r="94">
      <x:c r="A94" s="11" t="str">
        <x:v>The Score - Mitten ins Herz</x:v>
      </x:c>
      <x:c r="B94" s="11" t="str">
        <x:v>Elle Kennedy</x:v>
      </x:c>
      <x:c r="C94" s="11" t="str">
        <x:v>978-3-492-07533-6</x:v>
      </x:c>
      <x:c r="D94" s="11" t="str">
        <x:v>everlove / Piper</x:v>
      </x:c>
      <x:c r="E94" s="11" t="str">
        <x:v>Sports Romance / New Adult</x:v>
      </x:c>
      <x:c r="F94" s="11" t="str">
        <x:v>2026-04-30</x:v>
      </x:c>
      <x:c r="G94" s="14" t="n">
        <x:v>22</x:v>
      </x:c>
      <x:c r="H94" s="11" t="str">
        <x:v>Hardcover</x:v>
      </x:c>
      <x:c r="I94" s="11" t="str">
        <x:v>Yes</x:v>
      </x:c>
      <x:c r="J94" s="11" t="n">
        <x:v>3</x:v>
      </x:c>
      <x:c r="K94" s="11" t="str">
        <x:v>No</x:v>
      </x:c>
      <x:c r="L94" s="11" t="str">
        <x:v>https://www.piper.de/buecher/the-score-mitten-ins-herz-isbn-978-3-492-07533-6</x:v>
      </x:c>
      <x:c r="M94" s="11" t="str">
        <x:v>Off-Campus</x:v>
      </x:c>
      <x:c r="N94" s="11" t="str">
        <x:v>Full verified</x:v>
      </x:c>
      <x:c r="O94" s="11" t="str">
        <x:v>Relevant chart-era edition used; broad genre standardized for analysis.</x:v>
      </x:c>
    </x:row>
    <x:row r="95">
      <x:c r="A95" s="11" t="str">
        <x:v>Fearless</x:v>
      </x:c>
      <x:c r="B95" s="11" t="str">
        <x:v>Elsie Silver</x:v>
      </x:c>
      <x:c r="C95" s="11" t="str">
        <x:v>978-3-7363-2348-3</x:v>
      </x:c>
      <x:c r="D95" s="11" t="str">
        <x:v>LYX</x:v>
      </x:c>
      <x:c r="E95" s="11" t="str">
        <x:v>Romance / New Adult</x:v>
      </x:c>
      <x:c r="F95" s="11" t="str">
        <x:v>2025-01-31</x:v>
      </x:c>
      <x:c r="G95" s="14" t="n">
        <x:v>16</x:v>
      </x:c>
      <x:c r="H95" s="11" t="str">
        <x:v>Paperback</x:v>
      </x:c>
      <x:c r="I95" s="11" t="str">
        <x:v>Yes</x:v>
      </x:c>
      <x:c r="J95" s="11" t="n">
        <x:v>4</x:v>
      </x:c>
      <x:c r="K95" s="11" t="str">
        <x:v>No</x:v>
      </x:c>
      <x:c r="L95" s="11" t="str">
        <x:v>https://lyx-verlag.de/Buecher/Romance/Fearless/9783736323483</x:v>
      </x:c>
      <x:c r="M95" s="11" t="str">
        <x:v>Chestnut Springs</x:v>
      </x:c>
      <x:c r="N95" s="11" t="str">
        <x:v>Full verified</x:v>
      </x:c>
      <x:c r="O95" s="11" t="str">
        <x:v>Relevant chart-era edition used; broad genre standardized for analysis.</x:v>
      </x:c>
    </x:row>
    <x:row r="96">
      <x:c r="A96" s="11" t="str">
        <x:v>Fever Dream</x:v>
      </x:c>
      <x:c r="B96" s="11" t="str">
        <x:v>Elsie Silver</x:v>
      </x:c>
      <x:c r="C96" s="11" t="str">
        <x:v>978-3-7363-2729-0</x:v>
      </x:c>
      <x:c r="D96" s="11" t="str">
        <x:v>LYX</x:v>
      </x:c>
      <x:c r="E96" s="11" t="str">
        <x:v>Romance / New Adult</x:v>
      </x:c>
      <x:c r="F96" s="11" t="str">
        <x:v>2026-05-19</x:v>
      </x:c>
      <x:c r="G96" s="14" t="n">
        <x:v>16.9</x:v>
      </x:c>
      <x:c r="H96" s="11" t="str">
        <x:v>Paperback</x:v>
      </x:c>
      <x:c r="I96" s="11" t="str">
        <x:v>Yes</x:v>
      </x:c>
      <x:c r="J96" s="11" t="n">
        <x:v>1</x:v>
      </x:c>
      <x:c r="K96" s="11" t="str">
        <x:v>No</x:v>
      </x:c>
      <x:c r="L96" s="11" t="str">
        <x:v>https://unternehmen.bastei-luebbe.de/_Resources/Persistent/467c280e3f3700ac826a38c03ddd075158f4536d/VS_LYX_FS_2026_DS.pdf</x:v>
      </x:c>
      <x:c r="M96" s="11" t="str">
        <x:v>Emerald Lake</x:v>
      </x:c>
      <x:c r="N96" s="11" t="str">
        <x:v>Full verified</x:v>
      </x:c>
      <x:c r="O96" s="11" t="str">
        <x:v>Relevant chart-era edition used; broad genre standardized for analysis.</x:v>
      </x:c>
    </x:row>
    <x:row r="97">
      <x:c r="A97" s="11" t="str">
        <x:v>Flawless</x:v>
      </x:c>
      <x:c r="B97" s="11" t="str">
        <x:v>Elsie Silver</x:v>
      </x:c>
      <x:c r="C97" s="11" t="str">
        <x:v>978-3-7363-2241-7</x:v>
      </x:c>
      <x:c r="D97" s="11" t="str">
        <x:v>LYX</x:v>
      </x:c>
      <x:c r="E97" s="11" t="str">
        <x:v>Romance / New Adult</x:v>
      </x:c>
      <x:c r="F97" s="11" t="str">
        <x:v>2024-04-26</x:v>
      </x:c>
      <x:c r="G97" s="14" t="n">
        <x:v>14.9</x:v>
      </x:c>
      <x:c r="H97" s="11" t="str">
        <x:v>Paperback</x:v>
      </x:c>
      <x:c r="I97" s="11" t="str">
        <x:v>Yes</x:v>
      </x:c>
      <x:c r="J97" s="11" t="n">
        <x:v>1</x:v>
      </x:c>
      <x:c r="K97" s="11" t="str">
        <x:v>No</x:v>
      </x:c>
      <x:c r="L97" s="11" t="str">
        <x:v>https://www.thalia.de/shop/home/artikeldetails/A1070064275</x:v>
      </x:c>
      <x:c r="M97" s="11" t="str">
        <x:v>Chestnut Springs</x:v>
      </x:c>
      <x:c r="N97" s="11" t="str">
        <x:v>Full verified</x:v>
      </x:c>
      <x:c r="O97" s="11" t="str">
        <x:v>Relevant German edition used; broad genre standardized for analysis.</x:v>
      </x:c>
    </x:row>
    <x:row r="98">
      <x:c r="A98" s="11" t="str">
        <x:v>Wild Side</x:v>
      </x:c>
      <x:c r="B98" s="11" t="str">
        <x:v>Elsie Silver</x:v>
      </x:c>
      <x:c r="C98" s="11"/>
      <x:c r="D98" s="11" t="str">
        <x:v>LYX</x:v>
      </x:c>
      <x:c r="E98" s="11" t="str">
        <x:v>Romance / New Adult</x:v>
      </x:c>
      <x:c r="F98" s="11" t="str">
        <x:v>2025-08-29</x:v>
      </x:c>
      <x:c r="G98" s="14" t="n">
        <x:v>16</x:v>
      </x:c>
      <x:c r="H98" s="11" t="str">
        <x:v>Paperback</x:v>
      </x:c>
      <x:c r="I98" s="11" t="str">
        <x:v>Yes</x:v>
      </x:c>
      <x:c r="J98" s="11" t="n">
        <x:v>3</x:v>
      </x:c>
      <x:c r="K98" s="11" t="str">
        <x:v>No</x:v>
      </x:c>
      <x:c r="L98" s="11" t="str">
        <x:v>https://lyx-verlag.de/</x:v>
      </x:c>
      <x:c r="M98" s="11" t="str">
        <x:v>Rose Hill</x:v>
      </x:c>
      <x:c r="N98" s="11" t="str">
        <x:v>Core verified</x:v>
      </x:c>
      <x:c r="O98" s="11" t="str">
        <x:v>Publisher/date/series verified; ISBN was not retained in the project source notes.</x:v>
      </x:c>
    </x:row>
    <x:row r="99">
      <x:c r="A99" s="11" t="str">
        <x:v>Funny Story</x:v>
      </x:c>
      <x:c r="B99" s="11" t="str">
        <x:v>Emily Henry</x:v>
      </x:c>
      <x:c r="C99" s="11" t="str">
        <x:v>978-3-426-28432-2</x:v>
      </x:c>
      <x:c r="D99" s="11" t="str">
        <x:v>Knaur TB</x:v>
      </x:c>
      <x:c r="E99" s="11" t="str">
        <x:v>Romance / Contemporary</x:v>
      </x:c>
      <x:c r="F99" s="11" t="str">
        <x:v>2024-05-02</x:v>
      </x:c>
      <x:c r="G99" s="14"/>
      <x:c r="H99" s="11" t="str">
        <x:v>Paperback</x:v>
      </x:c>
      <x:c r="I99" s="11" t="str">
        <x:v>No</x:v>
      </x:c>
      <x:c r="J99" s="11"/>
      <x:c r="K99" s="11" t="str">
        <x:v>No</x:v>
      </x:c>
      <x:c r="L99" s="11" t="str">
        <x:v>https://www.droemer-knaur.de/buch/emily-henry-funny-story-9783426284322</x:v>
      </x:c>
      <x:c r="M99" s="11"/>
      <x:c r="N99" s="11" t="str">
        <x:v>Full verified</x:v>
      </x:c>
      <x:c r="O99" s="11" t="str">
        <x:v>Relevant German edition used; broad genre standardized for analysis.</x:v>
      </x:c>
    </x:row>
    <x:row r="100">
      <x:c r="A100" s="11" t="str">
        <x:v>Hooked</x:v>
      </x:c>
      <x:c r="B100" s="11" t="str">
        <x:v>Emily McIntire</x:v>
      </x:c>
      <x:c r="C100" s="11" t="str">
        <x:v>978-3-492-50759-2</x:v>
      </x:c>
      <x:c r="D100" s="11" t="str">
        <x:v>Piper</x:v>
      </x:c>
      <x:c r="E100" s="11" t="str">
        <x:v>Dark Romance</x:v>
      </x:c>
      <x:c r="F100" s="11" t="str">
        <x:v>2024-03-28</x:v>
      </x:c>
      <x:c r="G100" s="14" t="n">
        <x:v>15</x:v>
      </x:c>
      <x:c r="H100" s="11" t="str">
        <x:v>Taschenbuch</x:v>
      </x:c>
      <x:c r="I100" s="11" t="str">
        <x:v>Yes</x:v>
      </x:c>
      <x:c r="J100" s="11" t="n">
        <x:v>1</x:v>
      </x:c>
      <x:c r="K100" s="11" t="str">
        <x:v>No</x:v>
      </x:c>
      <x:c r="L100" s="11" t="str">
        <x:v>https://www.piper.de/buecher/hooked-isbn-978-3-492-50759-2</x:v>
      </x:c>
      <x:c r="M100" s="11" t="str">
        <x:v>Never After</x:v>
      </x:c>
      <x:c r="N100" s="11" t="str">
        <x:v>Full verified</x:v>
      </x:c>
      <x:c r="O100" s="11" t="str">
        <x:v>Relevant German edition used; broad genre standardized for analysis.</x:v>
      </x:c>
    </x:row>
    <x:row r="101">
      <x:c r="A101" s="11" t="str">
        <x:v>The Deadly Side of Love</x:v>
      </x:c>
      <x:c r="B101" s="11" t="str">
        <x:v>Francis Eden</x:v>
      </x:c>
      <x:c r="C101" s="11" t="str">
        <x:v>978-3-911244-49-7</x:v>
      </x:c>
      <x:c r="D101" s="11" t="str">
        <x:v>Leaf Verlag</x:v>
      </x:c>
      <x:c r="E101" s="11" t="str">
        <x:v>Fantasy / Romantasy</x:v>
      </x:c>
      <x:c r="F101" s="11" t="str">
        <x:v>2025-09-16</x:v>
      </x:c>
      <x:c r="G101" s="14" t="n">
        <x:v>17</x:v>
      </x:c>
      <x:c r="H101" s="11" t="str">
        <x:v>Softcover</x:v>
      </x:c>
      <x:c r="I101" s="11" t="str">
        <x:v>Yes</x:v>
      </x:c>
      <x:c r="J101" s="11" t="n">
        <x:v>1</x:v>
      </x:c>
      <x:c r="K101" s="11" t="str">
        <x:v>No</x:v>
      </x:c>
      <x:c r="L101" s="11" t="str">
        <x:v>https://leaf-verlag.de/products/the-deadly-side-of-love</x:v>
      </x:c>
      <x:c r="M101" s="11" t="str">
        <x:v>The Deadly Side of Love</x:v>
      </x:c>
      <x:c r="N101" s="11" t="str">
        <x:v>Full verified</x:v>
      </x:c>
      <x:c r="O101" s="11" t="str">
        <x:v>Relevant chart-era edition used; broad genre standardized for analysis.</x:v>
      </x:c>
    </x:row>
    <x:row r="102">
      <x:c r="A102" s="11" t="str">
        <x:v>Der Lehrer – Will er dir helfen oder will er deinen Tod?</x:v>
      </x:c>
      <x:c r="B102" s="11" t="str">
        <x:v>Freida McFadden</x:v>
      </x:c>
      <x:c r="C102" s="11" t="str">
        <x:v>978-3-453-42949-9</x:v>
      </x:c>
      <x:c r="D102" s="11" t="str">
        <x:v>Heyne</x:v>
      </x:c>
      <x:c r="E102" s="11" t="str">
        <x:v>Thriller / Suspense</x:v>
      </x:c>
      <x:c r="F102" s="11" t="str">
        <x:v>2025</x:v>
      </x:c>
      <x:c r="G102" s="14"/>
      <x:c r="H102" s="11" t="str">
        <x:v>Taschenbuch</x:v>
      </x:c>
      <x:c r="I102" s="11" t="str">
        <x:v>No</x:v>
      </x:c>
      <x:c r="J102" s="11"/>
      <x:c r="K102" s="11" t="str">
        <x:v>No</x:v>
      </x:c>
      <x:c r="L102" s="11" t="str">
        <x:v>https://books.google.com/books/about/Der_Lehrer_Will_er_dir_helfen_oder_will.html?id=aKXp0AEACAAJ</x:v>
      </x:c>
      <x:c r="M102" s="11"/>
      <x:c r="N102" s="11" t="str">
        <x:v>Core verified</x:v>
      </x:c>
      <x:c r="O102" s="11" t="str">
        <x:v>Relevant chart-era edition used; broad genre standardized for analysis.</x:v>
      </x:c>
    </x:row>
    <x:row r="103">
      <x:c r="A103" s="11" t="str">
        <x:v>Die Kollegin - Wer hat sie so sehr gehasst, dass sie sterben musste?</x:v>
      </x:c>
      <x:c r="B103" s="11" t="str">
        <x:v>Freida McFadden</x:v>
      </x:c>
      <x:c r="C103" s="11" t="str">
        <x:v>978-3-453-44348-8</x:v>
      </x:c>
      <x:c r="D103" s="11" t="str">
        <x:v>Heyne</x:v>
      </x:c>
      <x:c r="E103" s="11" t="str">
        <x:v>Thriller / Suspense</x:v>
      </x:c>
      <x:c r="F103" s="11" t="str">
        <x:v>2025-03-26</x:v>
      </x:c>
      <x:c r="G103" s="14"/>
      <x:c r="H103" s="11" t="str">
        <x:v>Taschenbuch</x:v>
      </x:c>
      <x:c r="I103" s="11" t="str">
        <x:v>No</x:v>
      </x:c>
      <x:c r="J103" s="11"/>
      <x:c r="K103" s="11" t="str">
        <x:v>No</x:v>
      </x:c>
      <x:c r="L103" s="11" t="str">
        <x:v>https://www.thalia.de/shop/home/artikeldetails/A1073176706</x:v>
      </x:c>
      <x:c r="M103" s="11"/>
      <x:c r="N103" s="11" t="str">
        <x:v>Full verified</x:v>
      </x:c>
      <x:c r="O103" s="11" t="str">
        <x:v>Relevant chart-era edition used; broad genre standardized for analysis.</x:v>
      </x:c>
    </x:row>
    <x:row r="104">
      <x:c r="A104" s="11" t="str">
        <x:v>Die Psychiaterin - Wurde ihr der Job zum Verhängnis?</x:v>
      </x:c>
      <x:c r="B104" s="11" t="str">
        <x:v>Freida McFadden</x:v>
      </x:c>
      <x:c r="C104" s="11" t="str">
        <x:v>978-3-453-44355-6</x:v>
      </x:c>
      <x:c r="D104" s="11" t="str">
        <x:v>Heyne</x:v>
      </x:c>
      <x:c r="E104" s="11" t="str">
        <x:v>Thriller / Suspense</x:v>
      </x:c>
      <x:c r="F104" s="11" t="str">
        <x:v>2026-07-15</x:v>
      </x:c>
      <x:c r="G104" s="14"/>
      <x:c r="H104" s="11" t="str">
        <x:v>Paperback</x:v>
      </x:c>
      <x:c r="I104" s="11" t="str">
        <x:v>No</x:v>
      </x:c>
      <x:c r="J104" s="11"/>
      <x:c r="K104" s="11" t="str">
        <x:v>No</x:v>
      </x:c>
      <x:c r="L104" s="11" t="str">
        <x:v>https://www.frauhofer.at/item/Die_Psychiaterin_-_Wurde_ihr_der_Job_zum/Freida_McFadden/77934199</x:v>
      </x:c>
      <x:c r="M104" s="11"/>
      <x:c r="N104" s="11" t="str">
        <x:v>Full verified</x:v>
      </x:c>
      <x:c r="O104" s="11" t="str">
        <x:v>Relevant chart-era edition used; broad genre standardized for analysis.</x:v>
      </x:c>
    </x:row>
    <x:row r="105">
      <x:c r="A105" s="11" t="str">
        <x:v>Beyond the Play 1: First Down</x:v>
      </x:c>
      <x:c r="B105" s="11" t="str">
        <x:v>Grace Reilly</x:v>
      </x:c>
      <x:c r="C105" s="11" t="str">
        <x:v>978-3-551-58570-7</x:v>
      </x:c>
      <x:c r="D105" s="11" t="str">
        <x:v>Carlsen</x:v>
      </x:c>
      <x:c r="E105" s="11" t="str">
        <x:v>Romance / New Adult</x:v>
      </x:c>
      <x:c r="F105" s="11" t="str">
        <x:v>2024-09-26</x:v>
      </x:c>
      <x:c r="G105" s="14" t="n">
        <x:v>16</x:v>
      </x:c>
      <x:c r="H105" s="11" t="str">
        <x:v>Paperback</x:v>
      </x:c>
      <x:c r="I105" s="11" t="str">
        <x:v>Yes</x:v>
      </x:c>
      <x:c r="J105" s="11" t="n">
        <x:v>1</x:v>
      </x:c>
      <x:c r="K105" s="11" t="str">
        <x:v>No</x:v>
      </x:c>
      <x:c r="L105" s="11" t="str">
        <x:v>https://www.thalia.de/shop/home/artikeldetails/A1071197580</x:v>
      </x:c>
      <x:c r="M105" s="11" t="str">
        <x:v>Beyond the Play</x:v>
      </x:c>
      <x:c r="N105" s="11" t="str">
        <x:v>Full verified</x:v>
      </x:c>
      <x:c r="O105" s="11" t="str">
        <x:v>Relevant German edition used; broad genre standardized for analysis.</x:v>
      </x:c>
    </x:row>
    <x:row r="106">
      <x:c r="A106" s="11" t="str">
        <x:v>Haunting Adeline 01</x:v>
      </x:c>
      <x:c r="B106" s="11" t="str">
        <x:v>H. D. Carlton</x:v>
      </x:c>
      <x:c r="C106" s="11" t="str">
        <x:v>978-3-98718-224-2</x:v>
      </x:c>
      <x:c r="D106" s="11" t="str">
        <x:v>VAJONA</x:v>
      </x:c>
      <x:c r="E106" s="11" t="str">
        <x:v>Dark Romance</x:v>
      </x:c>
      <x:c r="F106" s="11" t="str">
        <x:v>2024-04-03</x:v>
      </x:c>
      <x:c r="G106" s="14" t="n">
        <x:v>17</x:v>
      </x:c>
      <x:c r="H106" s="11" t="str">
        <x:v>Paperback</x:v>
      </x:c>
      <x:c r="I106" s="11" t="str">
        <x:v>Yes</x:v>
      </x:c>
      <x:c r="J106" s="11" t="n">
        <x:v>1</x:v>
      </x:c>
      <x:c r="K106" s="11" t="str">
        <x:v>No</x:v>
      </x:c>
      <x:c r="L106" s="11" t="str">
        <x:v>https://vajona.de/products/haunting-adeline</x:v>
      </x:c>
      <x:c r="M106" s="11" t="str">
        <x:v>Katz-und-Maus-Duett</x:v>
      </x:c>
      <x:c r="N106" s="11" t="str">
        <x:v>Full verified</x:v>
      </x:c>
      <x:c r="O106" s="11" t="str">
        <x:v>Relevant German edition used; broad genre standardized for analysis.</x:v>
      </x:c>
    </x:row>
    <x:row r="107">
      <x:c r="A107" s="11" t="str">
        <x:v>Hunting Adeline 02</x:v>
      </x:c>
      <x:c r="B107" s="11" t="str">
        <x:v>H. D. Carlton</x:v>
      </x:c>
      <x:c r="C107" s="11" t="str">
        <x:v>978-3-98718-226-6</x:v>
      </x:c>
      <x:c r="D107" s="11" t="str">
        <x:v>VAJONA</x:v>
      </x:c>
      <x:c r="E107" s="11" t="str">
        <x:v>Dark Romance</x:v>
      </x:c>
      <x:c r="F107" s="11" t="str">
        <x:v>2024-04-03</x:v>
      </x:c>
      <x:c r="G107" s="14" t="n">
        <x:v>17</x:v>
      </x:c>
      <x:c r="H107" s="11" t="str">
        <x:v>Paperback</x:v>
      </x:c>
      <x:c r="I107" s="11" t="str">
        <x:v>Yes</x:v>
      </x:c>
      <x:c r="J107" s="11" t="n">
        <x:v>2</x:v>
      </x:c>
      <x:c r="K107" s="11" t="str">
        <x:v>No</x:v>
      </x:c>
      <x:c r="L107" s="11" t="str">
        <x:v>https://vajona.de/products/hunting-adeline</x:v>
      </x:c>
      <x:c r="M107" s="11" t="str">
        <x:v>Katz-und-Maus-Duett</x:v>
      </x:c>
      <x:c r="N107" s="11" t="str">
        <x:v>Full verified</x:v>
      </x:c>
      <x:c r="O107" s="11" t="str">
        <x:v>Relevant German edition used; broad genre standardized for analysis.</x:v>
      </x:c>
    </x:row>
    <x:row r="108">
      <x:c r="A108" s="11" t="str">
        <x:v>Satan’s Affair</x:v>
      </x:c>
      <x:c r="B108" s="11" t="str">
        <x:v>H. D. Carlton</x:v>
      </x:c>
      <x:c r="C108" s="11" t="str">
        <x:v>978-3-98718-360-7</x:v>
      </x:c>
      <x:c r="D108" s="11" t="str">
        <x:v>VAJONA</x:v>
      </x:c>
      <x:c r="E108" s="11" t="str">
        <x:v>Dark Romance / Horror</x:v>
      </x:c>
      <x:c r="F108" s="11" t="str">
        <x:v>2025-06-18</x:v>
      </x:c>
      <x:c r="G108" s="14" t="n">
        <x:v>18</x:v>
      </x:c>
      <x:c r="H108" s="11" t="str">
        <x:v>Paperback</x:v>
      </x:c>
      <x:c r="I108" s="11" t="str">
        <x:v>Yes</x:v>
      </x:c>
      <x:c r="J108" s="11" t="n">
        <x:v>0.5</x:v>
      </x:c>
      <x:c r="K108" s="11" t="str">
        <x:v>No</x:v>
      </x:c>
      <x:c r="L108" s="11" t="str">
        <x:v>https://vajona.de/products/satan-s-affair</x:v>
      </x:c>
      <x:c r="M108" s="11" t="str">
        <x:v>Cat &amp; Mouse / Haunting Adeline prequel</x:v>
      </x:c>
      <x:c r="N108" s="11" t="str">
        <x:v>Full verified</x:v>
      </x:c>
      <x:c r="O108" s="11" t="str">
        <x:v>Relevant chart-era edition used; broad genre standardized for analysis.</x:v>
      </x:c>
    </x:row>
    <x:row r="109">
      <x:c r="A109" s="11" t="str">
        <x:v>A Tempest of Tea</x:v>
      </x:c>
      <x:c r="B109" s="11" t="str">
        <x:v>Hafsah Faizal</x:v>
      </x:c>
      <x:c r="C109" s="11" t="str">
        <x:v>978-3-426-44818-2</x:v>
      </x:c>
      <x:c r="D109" s="11" t="str">
        <x:v>Knaur</x:v>
      </x:c>
      <x:c r="E109" s="11" t="str">
        <x:v>Fantasy</x:v>
      </x:c>
      <x:c r="F109" s="11" t="str">
        <x:v>2024-05-02</x:v>
      </x:c>
      <x:c r="G109" s="14" t="n">
        <x:v>22</x:v>
      </x:c>
      <x:c r="H109" s="11" t="str">
        <x:v>Hardcover</x:v>
      </x:c>
      <x:c r="I109" s="11" t="str">
        <x:v>Yes</x:v>
      </x:c>
      <x:c r="J109" s="11" t="n">
        <x:v>1</x:v>
      </x:c>
      <x:c r="K109" s="11" t="str">
        <x:v>No</x:v>
      </x:c>
      <x:c r="L109" s="11" t="str">
        <x:v>https://www.droemer-knaur.de/buch/hafsah-faizal-a-tempest-of-tea-9783426448182</x:v>
      </x:c>
      <x:c r="M109" s="11" t="str">
        <x:v>Blood and Tea</x:v>
      </x:c>
      <x:c r="N109" s="11" t="str">
        <x:v>Full verified</x:v>
      </x:c>
      <x:c r="O109" s="11" t="str">
        <x:v>Relevant German edition used; broad genre standardized for analysis.</x:v>
      </x:c>
    </x:row>
    <x:row r="110">
      <x:c r="A110" s="11" t="str">
        <x:v>Icebreaker</x:v>
      </x:c>
      <x:c r="B110" s="11" t="str">
        <x:v>Hannah Grace</x:v>
      </x:c>
      <x:c r="C110" s="11" t="str">
        <x:v>978-3-7363-2084-0</x:v>
      </x:c>
      <x:c r="D110" s="11" t="str">
        <x:v>LYX</x:v>
      </x:c>
      <x:c r="E110" s="11" t="str">
        <x:v>Romance / New Adult</x:v>
      </x:c>
      <x:c r="F110" s="11"/>
      <x:c r="G110" s="14" t="n">
        <x:v>16</x:v>
      </x:c>
      <x:c r="H110" s="11" t="str">
        <x:v>Paperback</x:v>
      </x:c>
      <x:c r="I110" s="11" t="str">
        <x:v>Yes</x:v>
      </x:c>
      <x:c r="J110" s="11" t="n">
        <x:v>1</x:v>
      </x:c>
      <x:c r="K110" s="11" t="str">
        <x:v>No</x:v>
      </x:c>
      <x:c r="L110" s="11" t="str">
        <x:v>https://lyx-verlag.de/Buecher/Romance/Icebreaker/9783736320840</x:v>
      </x:c>
      <x:c r="M110" s="11" t="str">
        <x:v>Maple Hills</x:v>
      </x:c>
      <x:c r="N110" s="11" t="str">
        <x:v>Core verified</x:v>
      </x:c>
      <x:c r="O110" s="11" t="str">
        <x:v>Genre is a standardized analytical category for this project.</x:v>
      </x:c>
    </x:row>
    <x:row r="111">
      <x:c r="A111" s="11" t="str">
        <x:v>Wildfire</x:v>
      </x:c>
      <x:c r="B111" s="11" t="str">
        <x:v>Hannah Grace</x:v>
      </x:c>
      <x:c r="C111" s="11" t="str">
        <x:v>978-3-7363-2085-7</x:v>
      </x:c>
      <x:c r="D111" s="11" t="str">
        <x:v>LYX</x:v>
      </x:c>
      <x:c r="E111" s="11" t="str">
        <x:v>Romance / New Adult</x:v>
      </x:c>
      <x:c r="F111" s="11" t="str">
        <x:v>2024-03-28</x:v>
      </x:c>
      <x:c r="G111" s="14" t="n">
        <x:v>14.9</x:v>
      </x:c>
      <x:c r="H111" s="11" t="str">
        <x:v>Paperback</x:v>
      </x:c>
      <x:c r="I111" s="11" t="str">
        <x:v>Yes</x:v>
      </x:c>
      <x:c r="J111" s="11" t="n">
        <x:v>2</x:v>
      </x:c>
      <x:c r="K111" s="11" t="str">
        <x:v>No</x:v>
      </x:c>
      <x:c r="L111" s="11" t="str">
        <x:v>https://www.schweitzer-online.de/buch/Grace/Wildfire/9783736320857/B646010/</x:v>
      </x:c>
      <x:c r="M111" s="11" t="str">
        <x:v>Maple Hills</x:v>
      </x:c>
      <x:c r="N111" s="11" t="str">
        <x:v>Full verified</x:v>
      </x:c>
      <x:c r="O111" s="11" t="str">
        <x:v>Relevant German edition used; broad genre standardized for analysis.</x:v>
      </x:c>
    </x:row>
    <x:row r="112">
      <x:c r="A112" s="11" t="str">
        <x:v>Godkiller</x:v>
      </x:c>
      <x:c r="B112" s="11" t="str">
        <x:v>Hannah Kaner</x:v>
      </x:c>
      <x:c r="C112" s="11" t="str">
        <x:v>978-3-492-70921-7</x:v>
      </x:c>
      <x:c r="D112" s="11" t="str">
        <x:v>Piper</x:v>
      </x:c>
      <x:c r="E112" s="11" t="str">
        <x:v>Fantasy</x:v>
      </x:c>
      <x:c r="F112" s="11" t="str">
        <x:v>2024-02-01</x:v>
      </x:c>
      <x:c r="G112" s="14" t="n">
        <x:v>18</x:v>
      </x:c>
      <x:c r="H112" s="11" t="str">
        <x:v>Paperback</x:v>
      </x:c>
      <x:c r="I112" s="11" t="str">
        <x:v>Yes</x:v>
      </x:c>
      <x:c r="J112" s="11" t="n">
        <x:v>1</x:v>
      </x:c>
      <x:c r="K112" s="11" t="str">
        <x:v>No</x:v>
      </x:c>
      <x:c r="L112" s="11" t="str">
        <x:v>https://www.piper.de/buecher/godkiller-isbn-978-3-492-70921-7</x:v>
      </x:c>
      <x:c r="M112" s="11" t="str">
        <x:v>Godkiller</x:v>
      </x:c>
      <x:c r="N112" s="11" t="str">
        <x:v>Full verified</x:v>
      </x:c>
      <x:c r="O112" s="11" t="str">
        <x:v>Relevant German edition used; broad genre standardized for analysis.</x:v>
      </x:c>
    </x:row>
    <x:row r="113">
      <x:c r="A113" s="11" t="str">
        <x:v>Ein wenig Leben</x:v>
      </x:c>
      <x:c r="B113" s="11" t="str">
        <x:v>Hanya Yanagihara</x:v>
      </x:c>
      <x:c r="C113" s="11" t="str">
        <x:v>978-3-446-28228-5</x:v>
      </x:c>
      <x:c r="D113" s="11" t="str">
        <x:v>Hanser Berlin</x:v>
      </x:c>
      <x:c r="E113" s="11" t="str">
        <x:v>Contemporary Fiction</x:v>
      </x:c>
      <x:c r="F113" s="11" t="str">
        <x:v>2024-09-23</x:v>
      </x:c>
      <x:c r="G113" s="14" t="n">
        <x:v>32</x:v>
      </x:c>
      <x:c r="H113" s="11" t="str">
        <x:v>Hardcover</x:v>
      </x:c>
      <x:c r="I113" s="11" t="str">
        <x:v>No</x:v>
      </x:c>
      <x:c r="J113" s="11"/>
      <x:c r="K113" s="11" t="str">
        <x:v>No</x:v>
      </x:c>
      <x:c r="L113" s="11" t="str">
        <x:v>https://www.thalia.de/shop/home/artikeldetails/A1071523032</x:v>
      </x:c>
      <x:c r="M113" s="11"/>
      <x:c r="N113" s="11" t="str">
        <x:v>Full verified</x:v>
      </x:c>
      <x:c r="O113" s="11" t="str">
        <x:v>Relevant German edition used; broad genre standardized for analysis.</x:v>
      </x:c>
    </x:row>
    <x:row r="114">
      <x:c r="A114" s="11" t="str">
        <x:v>A Good Girl's Guide to Murder</x:v>
      </x:c>
      <x:c r="B114" s="11" t="str">
        <x:v>Holly Jackson</x:v>
      </x:c>
      <x:c r="C114" s="11" t="str">
        <x:v>978-3-8466-0159-4</x:v>
      </x:c>
      <x:c r="D114" s="11" t="str">
        <x:v>ONE</x:v>
      </x:c>
      <x:c r="E114" s="11" t="str">
        <x:v>YA Thriller / Mystery</x:v>
      </x:c>
      <x:c r="F114" s="11" t="str">
        <x:v>2022-10-28</x:v>
      </x:c>
      <x:c r="G114" s="14"/>
      <x:c r="H114" s="11" t="str">
        <x:v>Taschenbuch</x:v>
      </x:c>
      <x:c r="I114" s="11" t="str">
        <x:v>Yes</x:v>
      </x:c>
      <x:c r="J114" s="11" t="n">
        <x:v>1</x:v>
      </x:c>
      <x:c r="K114" s="11" t="str">
        <x:v>No</x:v>
      </x:c>
      <x:c r="L114" s="11" t="str">
        <x:v>https://www.thalia.de/shop/home/artikeldetails/A1063616542</x:v>
      </x:c>
      <x:c r="M114" s="11" t="str">
        <x:v>A Good Girl's Guide to Murder</x:v>
      </x:c>
      <x:c r="N114" s="11" t="str">
        <x:v>Full verified</x:v>
      </x:c>
      <x:c r="O114" s="11" t="str">
        <x:v>Genre is a standardized analytical category for this project.</x:v>
      </x:c>
    </x:row>
    <x:row r="115">
      <x:c r="A115" s="11" t="str">
        <x:v>Not Quite Dead Yet</x:v>
      </x:c>
      <x:c r="B115" s="11" t="str">
        <x:v>Holly Jackson</x:v>
      </x:c>
      <x:c r="C115" s="11" t="str">
        <x:v>978-0-241-75368-2</x:v>
      </x:c>
      <x:c r="D115" s="11" t="str">
        <x:v>Penguin Books UK</x:v>
      </x:c>
      <x:c r="E115" s="11" t="str">
        <x:v>Thriller / Mystery</x:v>
      </x:c>
      <x:c r="F115" s="11" t="str">
        <x:v>2025-07-17</x:v>
      </x:c>
      <x:c r="G115" s="14"/>
      <x:c r="H115" s="11" t="str">
        <x:v>English Hardcover</x:v>
      </x:c>
      <x:c r="I115" s="11" t="str">
        <x:v>No</x:v>
      </x:c>
      <x:c r="J115" s="11"/>
      <x:c r="K115" s="11" t="str">
        <x:v>No</x:v>
      </x:c>
      <x:c r="L115" s="11" t="str">
        <x:v>https://en.wikipedia.org/wiki/Not_Quite_Dead_Yet</x:v>
      </x:c>
      <x:c r="M115" s="11"/>
      <x:c r="N115" s="11" t="str">
        <x:v>Edition ambiguous</x:v>
      </x:c>
      <x:c r="O115" s="11" t="str">
        <x:v>The German translation surfaced later; the English UK chart-era edition is used.</x:v>
      </x:c>
    </x:row>
    <x:row r="116">
      <x:c r="A116" s="11" t="str">
        <x:v>Pupetta: Gute Mädchen gehorchen - Mit wunderschönem Farbschnitt</x:v>
      </x:c>
      <x:c r="B116" s="11" t="str">
        <x:v>Isabelle Herzog</x:v>
      </x:c>
      <x:c r="C116" s="11" t="str">
        <x:v>978-3-98942-630-6</x:v>
      </x:c>
      <x:c r="D116" s="11" t="str">
        <x:v>Black Edition</x:v>
      </x:c>
      <x:c r="E116" s="11" t="str">
        <x:v>Dark Romance</x:v>
      </x:c>
      <x:c r="F116" s="11" t="str">
        <x:v>2024-08-15</x:v>
      </x:c>
      <x:c r="G116" s="14" t="n">
        <x:v>17.9</x:v>
      </x:c>
      <x:c r="H116" s="11" t="str">
        <x:v>Softcover</x:v>
      </x:c>
      <x:c r="I116" s="11" t="str">
        <x:v>No</x:v>
      </x:c>
      <x:c r="J116" s="11"/>
      <x:c r="K116" s="11" t="str">
        <x:v>No</x:v>
      </x:c>
      <x:c r="L116" s="11" t="str">
        <x:v>https://buchhandel.de/buch/x-y-9783989426306</x:v>
      </x:c>
      <x:c r="M116" s="11"/>
      <x:c r="N116" s="11" t="str">
        <x:v>Full verified</x:v>
      </x:c>
      <x:c r="O116" s="11" t="str">
        <x:v>Relevant German edition used; broad genre standardized for analysis.</x:v>
      </x:c>
    </x:row>
    <x:row r="117">
      <x:c r="A117" s="11" t="str">
        <x:v>Praeda</x:v>
      </x:c>
      <x:c r="B117" s="11" t="str">
        <x:v>Isabelle North</x:v>
      </x:c>
      <x:c r="C117" s="11" t="str">
        <x:v>978-3-98942-709-9</x:v>
      </x:c>
      <x:c r="D117" s="11" t="str">
        <x:v>Black Edition</x:v>
      </x:c>
      <x:c r="E117" s="11" t="str">
        <x:v>Fantasy / Romantasy</x:v>
      </x:c>
      <x:c r="F117" s="11" t="str">
        <x:v>2025-06-17</x:v>
      </x:c>
      <x:c r="G117" s="14" t="n">
        <x:v>17.9</x:v>
      </x:c>
      <x:c r="H117" s="11" t="str">
        <x:v>Softcover</x:v>
      </x:c>
      <x:c r="I117" s="11" t="str">
        <x:v>Yes</x:v>
      </x:c>
      <x:c r="J117" s="11" t="n">
        <x:v>2</x:v>
      </x:c>
      <x:c r="K117" s="11" t="str">
        <x:v>No</x:v>
      </x:c>
      <x:c r="L117" s="11" t="str">
        <x:v>https://buchhandel.de/buch/9783989427099</x:v>
      </x:c>
      <x:c r="M117" s="11" t="str">
        <x:v>W&amp;R Academy</x:v>
      </x:c>
      <x:c r="N117" s="11" t="str">
        <x:v>Full verified</x:v>
      </x:c>
      <x:c r="O117" s="11" t="str">
        <x:v>Relevant chart-era edition used; broad genre standardized for analysis.</x:v>
      </x:c>
    </x:row>
    <x:row r="118">
      <x:c r="A118" s="11" t="str">
        <x:v>Regents</x:v>
      </x:c>
      <x:c r="B118" s="11" t="str">
        <x:v>Isabelle North</x:v>
      </x:c>
      <x:c r="C118" s="11" t="str">
        <x:v>978-3-98942-626-9</x:v>
      </x:c>
      <x:c r="D118" s="11" t="str">
        <x:v>Black Edition</x:v>
      </x:c>
      <x:c r="E118" s="11" t="str">
        <x:v>Fantasy / Romantasy</x:v>
      </x:c>
      <x:c r="F118" s="11" t="str">
        <x:v>2024-10-02</x:v>
      </x:c>
      <x:c r="G118" s="14"/>
      <x:c r="H118" s="11" t="str">
        <x:v>Paperback</x:v>
      </x:c>
      <x:c r="I118" s="11" t="str">
        <x:v>Yes</x:v>
      </x:c>
      <x:c r="J118" s="11" t="n">
        <x:v>1</x:v>
      </x:c>
      <x:c r="K118" s="11" t="str">
        <x:v>No</x:v>
      </x:c>
      <x:c r="L118" s="11" t="str">
        <x:v>https://www.boersenblatt.net/home/die-offiziellen-booktok-bestsellerlisten-im...</x:v>
      </x:c>
      <x:c r="M118" s="11" t="str">
        <x:v>W&amp;R Academy</x:v>
      </x:c>
      <x:c r="N118" s="11" t="str">
        <x:v>Full verified</x:v>
      </x:c>
      <x:c r="O118" s="11" t="str">
        <x:v>Relevant German edition used; broad genre standardized for analysis.</x:v>
      </x:c>
    </x:row>
    <x:row r="119">
      <x:c r="A119" s="11" t="str">
        <x:v>Blackened Blade 1: The Blackened Blade</x:v>
      </x:c>
      <x:c r="B119" s="11" t="str">
        <x:v>Isla Davon</x:v>
      </x:c>
      <x:c r="C119" s="11" t="str">
        <x:v>978-3-551-58608-7</x:v>
      </x:c>
      <x:c r="D119" s="11" t="str">
        <x:v>Carlsen</x:v>
      </x:c>
      <x:c r="E119" s="11" t="str">
        <x:v>Fantasy / Romantasy</x:v>
      </x:c>
      <x:c r="F119" s="11" t="str">
        <x:v>2025-07-31</x:v>
      </x:c>
      <x:c r="G119" s="14" t="n">
        <x:v>18</x:v>
      </x:c>
      <x:c r="H119" s="11" t="str">
        <x:v>Softcover</x:v>
      </x:c>
      <x:c r="I119" s="11" t="str">
        <x:v>Yes</x:v>
      </x:c>
      <x:c r="J119" s="11" t="n">
        <x:v>1</x:v>
      </x:c>
      <x:c r="K119" s="11" t="str">
        <x:v>No</x:v>
      </x:c>
      <x:c r="L119" s="11" t="str">
        <x:v>https://www.carlsen.de/softcover/blackened-blade-1-blackened-blade/978-3-551-58608-7</x:v>
      </x:c>
      <x:c r="M119" s="11" t="str">
        <x:v>The Blackened Blade</x:v>
      </x:c>
      <x:c r="N119" s="11" t="str">
        <x:v>Full verified</x:v>
      </x:c>
      <x:c r="O119" s="11" t="str">
        <x:v>Relevant chart-era edition used; broad genre standardized for analysis.</x:v>
      </x:c>
    </x:row>
    <x:row r="120">
      <x:c r="A120" s="11" t="str">
        <x:v>Where Autumn Leaves (Festival-Serie 4)</x:v>
      </x:c>
      <x:c r="B120" s="11" t="str">
        <x:v>Ivy Leagh</x:v>
      </x:c>
      <x:c r="C120" s="11" t="str">
        <x:v>978-3-551-58508-0</x:v>
      </x:c>
      <x:c r="D120" s="11" t="str">
        <x:v>Carlsen</x:v>
      </x:c>
      <x:c r="E120" s="11" t="str">
        <x:v>Romance / New Adult</x:v>
      </x:c>
      <x:c r="F120" s="11" t="str">
        <x:v>2025-01-09</x:v>
      </x:c>
      <x:c r="G120" s="14" t="n">
        <x:v>15</x:v>
      </x:c>
      <x:c r="H120" s="11" t="str">
        <x:v>Softcover</x:v>
      </x:c>
      <x:c r="I120" s="11" t="str">
        <x:v>Yes</x:v>
      </x:c>
      <x:c r="J120" s="11" t="n">
        <x:v>4</x:v>
      </x:c>
      <x:c r="K120" s="11" t="str">
        <x:v>No</x:v>
      </x:c>
      <x:c r="L120" s="11" t="str">
        <x:v>https://www.carlsen.de/softcover/where-autumn-leaves-festival-serie-4/978-3-551-58508-0</x:v>
      </x:c>
      <x:c r="M120" s="11" t="str">
        <x:v>Festival-Serie</x:v>
      </x:c>
      <x:c r="N120" s="11" t="str">
        <x:v>Full verified</x:v>
      </x:c>
      <x:c r="O120" s="11" t="str">
        <x:v>Relevant chart-era edition used; broad genre standardized for analysis.</x:v>
      </x:c>
    </x:row>
    <x:row r="121">
      <x:c r="A121" s="11" t="str">
        <x:v>Bastards</x:v>
      </x:c>
      <x:c r="B121" s="11" t="str">
        <x:v>J. S. Wonda</x:v>
      </x:c>
      <x:c r="C121" s="11" t="str">
        <x:v>978-3-98595-662-3</x:v>
      </x:c>
      <x:c r="D121" s="11" t="str">
        <x:v>WondaVersum / Nova MD</x:v>
      </x:c>
      <x:c r="E121" s="11" t="str">
        <x:v>Dark Romance</x:v>
      </x:c>
      <x:c r="F121" s="11" t="str">
        <x:v>2023-08-16</x:v>
      </x:c>
      <x:c r="G121" s="14"/>
      <x:c r="H121" s="11" t="str">
        <x:v>Paperback</x:v>
      </x:c>
      <x:c r="I121" s="11"/>
      <x:c r="J121" s="11"/>
      <x:c r="K121" s="11" t="str">
        <x:v>Yes</x:v>
      </x:c>
      <x:c r="L121" s="11" t="str">
        <x:v>https://www.novamd.de/de/book/23926-bastards/</x:v>
      </x:c>
      <x:c r="M121" s="11"/>
      <x:c r="N121" s="11" t="str">
        <x:v>Full verified</x:v>
      </x:c>
      <x:c r="O121" s="11" t="str">
        <x:v>Genre is a standardized analytical category for this project.</x:v>
      </x:c>
    </x:row>
    <x:row r="122">
      <x:c r="A122" s="11" t="str">
        <x:v>Catch the Billions, Baby!</x:v>
      </x:c>
      <x:c r="B122" s="11" t="str">
        <x:v>J. S. Wonda</x:v>
      </x:c>
      <x:c r="C122" s="11" t="str">
        <x:v>978-3-98595-660-9</x:v>
      </x:c>
      <x:c r="D122" s="11" t="str">
        <x:v>WondaVersum</x:v>
      </x:c>
      <x:c r="E122" s="11" t="str">
        <x:v>Dark Romance</x:v>
      </x:c>
      <x:c r="F122" s="11" t="str">
        <x:v>2023-07-18</x:v>
      </x:c>
      <x:c r="G122" s="14" t="n">
        <x:v>15.99</x:v>
      </x:c>
      <x:c r="H122" s="11" t="str">
        <x:v>Taschenbuch</x:v>
      </x:c>
      <x:c r="I122" s="11"/>
      <x:c r="J122" s="11"/>
      <x:c r="K122" s="11" t="str">
        <x:v>Yes</x:v>
      </x:c>
      <x:c r="L122" s="11" t="str">
        <x:v>https://www.lesejury.de/j-s-wonda/buecher/catch-the-billions-baby/9783985956609</x:v>
      </x:c>
      <x:c r="M122" s="11"/>
      <x:c r="N122" s="11" t="str">
        <x:v>Full verified</x:v>
      </x:c>
      <x:c r="O122" s="11" t="str">
        <x:v>Genre is a standardized analytical category for this project.</x:v>
      </x:c>
    </x:row>
    <x:row r="123">
      <x:c r="A123" s="11" t="str">
        <x:v>Dark Desire</x:v>
      </x:c>
      <x:c r="B123" s="11" t="str">
        <x:v>J. S. Wonda</x:v>
      </x:c>
      <x:c r="C123" s="11" t="str">
        <x:v>978-3-9894261-9-1</x:v>
      </x:c>
      <x:c r="D123" s="11" t="str">
        <x:v>WondaVersum / Nova MD</x:v>
      </x:c>
      <x:c r="E123" s="11" t="str">
        <x:v>Dark Romance</x:v>
      </x:c>
      <x:c r="F123" s="11" t="str">
        <x:v>2024-07-16</x:v>
      </x:c>
      <x:c r="G123" s="14" t="n">
        <x:v>17</x:v>
      </x:c>
      <x:c r="H123" s="11" t="str">
        <x:v>Paperback</x:v>
      </x:c>
      <x:c r="I123" s="11" t="str">
        <x:v>Yes</x:v>
      </x:c>
      <x:c r="J123" s="11"/>
      <x:c r="K123" s="11" t="str">
        <x:v>Yes</x:v>
      </x:c>
      <x:c r="L123" s="11" t="str">
        <x:v>https://www.thalia.de/shop/home/artikeldetails/A1071604589</x:v>
      </x:c>
      <x:c r="M123" s="11" t="str">
        <x:v>Dark Romance series</x:v>
      </x:c>
      <x:c r="N123" s="11" t="str">
        <x:v>Full verified</x:v>
      </x:c>
      <x:c r="O123" s="11" t="str">
        <x:v>Relevant German edition used; broad genre standardized for analysis.</x:v>
      </x:c>
    </x:row>
    <x:row r="124">
      <x:c r="A124" s="11" t="str">
        <x:v>Very Bad Elite</x:v>
      </x:c>
      <x:c r="B124" s="11" t="str">
        <x:v>J. S. Wonda</x:v>
      </x:c>
      <x:c r="C124" s="11" t="str">
        <x:v>978-3-98595-460-5</x:v>
      </x:c>
      <x:c r="D124" s="11" t="str">
        <x:v>WondaVersum / Nova MD</x:v>
      </x:c>
      <x:c r="E124" s="11" t="str">
        <x:v>Dark Romance</x:v>
      </x:c>
      <x:c r="F124" s="11" t="str">
        <x:v>2023</x:v>
      </x:c>
      <x:c r="G124" s="14"/>
      <x:c r="H124" s="11" t="str">
        <x:v>Paperback</x:v>
      </x:c>
      <x:c r="I124" s="11"/>
      <x:c r="J124" s="11"/>
      <x:c r="K124" s="11" t="str">
        <x:v>Yes</x:v>
      </x:c>
      <x:c r="L124" s="11" t="str">
        <x:v>https://black-ed.de/wp-content/uploads/2024/01/BewerberChallenge-Buchsatz-Pruefen.pdf</x:v>
      </x:c>
      <x:c r="M124" s="11"/>
      <x:c r="N124" s="11" t="str">
        <x:v>Full verified</x:v>
      </x:c>
      <x:c r="O124" s="11" t="str">
        <x:v>Genre is a standardized analytical category for this project.</x:v>
      </x:c>
    </x:row>
    <x:row r="125">
      <x:c r="A125" s="11" t="str">
        <x:v>Very Bad Kings</x:v>
      </x:c>
      <x:c r="B125" s="11" t="str">
        <x:v>J. S. Wonda</x:v>
      </x:c>
      <x:c r="C125" s="11" t="str">
        <x:v>978-3-96966-516-9</x:v>
      </x:c>
      <x:c r="D125" s="11" t="str">
        <x:v>Nova MD / J. S. Wonda</x:v>
      </x:c>
      <x:c r="E125" s="11" t="str">
        <x:v>Dark Romance</x:v>
      </x:c>
      <x:c r="F125" s="11" t="str">
        <x:v>2021</x:v>
      </x:c>
      <x:c r="G125" s="14" t="n">
        <x:v>14.99</x:v>
      </x:c>
      <x:c r="H125" s="11" t="str">
        <x:v>Paperback</x:v>
      </x:c>
      <x:c r="I125" s="11"/>
      <x:c r="J125" s="11"/>
      <x:c r="K125" s="11" t="str">
        <x:v>Yes</x:v>
      </x:c>
      <x:c r="L125" s="11" t="str">
        <x:v>https://d-nb.info/1283472007/34</x:v>
      </x:c>
      <x:c r="M125" s="11"/>
      <x:c r="N125" s="11" t="str">
        <x:v>Full verified</x:v>
      </x:c>
      <x:c r="O125" s="11" t="str">
        <x:v>Genre is a standardized analytical category for this project.</x:v>
      </x:c>
    </x:row>
    <x:row r="126">
      <x:c r="A126" s="11" t="str">
        <x:v>Very Bad Queen</x:v>
      </x:c>
      <x:c r="B126" s="11" t="str">
        <x:v>J. S. Wonda</x:v>
      </x:c>
      <x:c r="C126" s="11" t="str">
        <x:v>978-3-690-28297-0</x:v>
      </x:c>
      <x:c r="D126" s="11" t="str">
        <x:v>WondaVersum / Nova MD</x:v>
      </x:c>
      <x:c r="E126" s="11" t="str">
        <x:v>Dark Romance</x:v>
      </x:c>
      <x:c r="F126" s="11" t="str">
        <x:v>2025-07-01</x:v>
      </x:c>
      <x:c r="G126" s="14"/>
      <x:c r="H126" s="11" t="str">
        <x:v>Taschenbuch</x:v>
      </x:c>
      <x:c r="I126" s="11" t="str">
        <x:v>Yes</x:v>
      </x:c>
      <x:c r="J126" s="11"/>
      <x:c r="K126" s="11" t="str">
        <x:v>Yes</x:v>
      </x:c>
      <x:c r="L126" s="11" t="str">
        <x:v>https://www.thalia.de/shop/home/artikeldetails/A1075363981</x:v>
      </x:c>
      <x:c r="M126" s="11" t="str">
        <x:v>Very Bad</x:v>
      </x:c>
      <x:c r="N126" s="11" t="str">
        <x:v>Full verified</x:v>
      </x:c>
      <x:c r="O126" s="11" t="str">
        <x:v>Relevant chart-era edition used; broad genre standardized for analysis.</x:v>
      </x:c>
    </x:row>
    <x:row r="127">
      <x:c r="A127" s="11" t="str">
        <x:v>Very Bad Revenge</x:v>
      </x:c>
      <x:c r="B127" s="11" t="str">
        <x:v>J. S. Wonda</x:v>
      </x:c>
      <x:c r="C127" s="11" t="str">
        <x:v>978-3-9859546-0-5</x:v>
      </x:c>
      <x:c r="D127" s="11" t="str">
        <x:v>WondaVersum / Nova MD</x:v>
      </x:c>
      <x:c r="E127" s="11" t="str">
        <x:v>Dark Romance</x:v>
      </x:c>
      <x:c r="F127" s="11" t="str">
        <x:v>2024-01-30</x:v>
      </x:c>
      <x:c r="G127" s="14"/>
      <x:c r="H127" s="11" t="str">
        <x:v>Paperback</x:v>
      </x:c>
      <x:c r="I127" s="11" t="str">
        <x:v>Yes</x:v>
      </x:c>
      <x:c r="J127" s="11"/>
      <x:c r="K127" s="11" t="str">
        <x:v>Yes</x:v>
      </x:c>
      <x:c r="L127" s="11" t="str">
        <x:v>https://www.osiander.de/shop/home/artikeldetails/A1068858491</x:v>
      </x:c>
      <x:c r="M127" s="11" t="str">
        <x:v>Very Bad Kings</x:v>
      </x:c>
      <x:c r="N127" s="11" t="str">
        <x:v>Full verified</x:v>
      </x:c>
      <x:c r="O127" s="11" t="str">
        <x:v>Relevant German edition used; broad genre standardized for analysis.</x:v>
      </x:c>
    </x:row>
    <x:row r="128">
      <x:c r="A128" s="11" t="str">
        <x:v>Die 1%-Methode - Minimale Veränderung, maximale Wirkung</x:v>
      </x:c>
      <x:c r="B128" s="11" t="str">
        <x:v>James Clear</x:v>
      </x:c>
      <x:c r="C128" s="11" t="str">
        <x:v>978-3-442-17858-2</x:v>
      </x:c>
      <x:c r="D128" s="11" t="str">
        <x:v>Goldmann</x:v>
      </x:c>
      <x:c r="E128" s="11" t="str">
        <x:v>Self-Help / Psychology</x:v>
      </x:c>
      <x:c r="F128" s="11" t="str">
        <x:v>2020-04-27</x:v>
      </x:c>
      <x:c r="G128" s="14"/>
      <x:c r="H128" s="11" t="str">
        <x:v>Paperback</x:v>
      </x:c>
      <x:c r="I128" s="11" t="str">
        <x:v>No</x:v>
      </x:c>
      <x:c r="J128" s="11"/>
      <x:c r="K128" s="11" t="str">
        <x:v>No</x:v>
      </x:c>
      <x:c r="L128" s="11" t="str">
        <x:v>https://www.thalia.de/shop/home/artikeldetails/A1056623469</x:v>
      </x:c>
      <x:c r="M128" s="11"/>
      <x:c r="N128" s="11" t="str">
        <x:v>Full verified</x:v>
      </x:c>
      <x:c r="O128" s="11" t="str">
        <x:v>Genre is a standardized analytical category for this project.</x:v>
      </x:c>
    </x:row>
    <x:row r="129">
      <x:c r="A129" s="11" t="str">
        <x:v>Jana, 39, ungeküsst</x:v>
      </x:c>
      <x:c r="B129" s="11" t="str">
        <x:v>Jana Crämer</x:v>
      </x:c>
      <x:c r="C129" s="11" t="str">
        <x:v>978-3-426-79174-5</x:v>
      </x:c>
      <x:c r="D129" s="11" t="str">
        <x:v>Knaur</x:v>
      </x:c>
      <x:c r="E129" s="11" t="str">
        <x:v>Memoir / Nonfiction</x:v>
      </x:c>
      <x:c r="F129" s="11" t="str">
        <x:v>2023-04-03</x:v>
      </x:c>
      <x:c r="G129" s="14"/>
      <x:c r="H129" s="11" t="str">
        <x:v>Paperback</x:v>
      </x:c>
      <x:c r="I129" s="11" t="str">
        <x:v>No</x:v>
      </x:c>
      <x:c r="J129" s="11"/>
      <x:c r="K129" s="11"/>
      <x:c r="L129" s="11" t="str">
        <x:v>https://www.droemer-knaur.de/buch/jana-craemer-jana-39-ungekuesst-9783426791745</x:v>
      </x:c>
      <x:c r="M129" s="11"/>
      <x:c r="N129" s="11" t="str">
        <x:v>Full verified</x:v>
      </x:c>
      <x:c r="O129" s="11" t="str">
        <x:v>Genre is a standardized analytical category for this project.</x:v>
      </x:c>
    </x:row>
    <x:row r="130">
      <x:c r="A130" s="11" t="str">
        <x:v>Still Beating</x:v>
      </x:c>
      <x:c r="B130" s="11" t="str">
        <x:v>Jennifer Hartmann</x:v>
      </x:c>
      <x:c r="C130" s="11" t="str">
        <x:v>978-3-7341-1512-7</x:v>
      </x:c>
      <x:c r="D130" s="11" t="str">
        <x:v>Blush Blanvalet</x:v>
      </x:c>
      <x:c r="E130" s="11" t="str">
        <x:v>Dark Romance / Thriller</x:v>
      </x:c>
      <x:c r="F130" s="11" t="str">
        <x:v>2026-07-15</x:v>
      </x:c>
      <x:c r="G130" s="14" t="n">
        <x:v>17</x:v>
      </x:c>
      <x:c r="H130" s="11" t="str">
        <x:v>Paperback</x:v>
      </x:c>
      <x:c r="I130" s="11" t="str">
        <x:v>No</x:v>
      </x:c>
      <x:c r="J130" s="11"/>
      <x:c r="K130" s="11" t="str">
        <x:v>No</x:v>
      </x:c>
      <x:c r="L130" s="11" t="str">
        <x:v>https://www.thalia.de/shop/home/artikeldetails/A1077078207</x:v>
      </x:c>
      <x:c r="M130" s="11"/>
      <x:c r="N130" s="11" t="str">
        <x:v>Full verified</x:v>
      </x:c>
      <x:c r="O130" s="11" t="str">
        <x:v>Relevant chart-era edition used; broad genre standardized for analysis.</x:v>
      </x:c>
    </x:row>
    <x:row r="131">
      <x:c r="A131" s="11" t="str">
        <x:v>The Brothers Hawthorne</x:v>
      </x:c>
      <x:c r="B131" s="11" t="str">
        <x:v>Jennifer Lynn Barnes</x:v>
      </x:c>
      <x:c r="C131" s="11" t="str">
        <x:v>978-3-570-31604-7</x:v>
      </x:c>
      <x:c r="D131" s="11" t="str">
        <x:v>cbt</x:v>
      </x:c>
      <x:c r="E131" s="11" t="str">
        <x:v>YA Mystery / Thriller</x:v>
      </x:c>
      <x:c r="F131" s="11" t="str">
        <x:v>2023-09-13</x:v>
      </x:c>
      <x:c r="G131" s="14"/>
      <x:c r="H131" s="11" t="str">
        <x:v>Taschenbuch</x:v>
      </x:c>
      <x:c r="I131" s="11" t="str">
        <x:v>Yes</x:v>
      </x:c>
      <x:c r="J131" s="11" t="n">
        <x:v>4</x:v>
      </x:c>
      <x:c r="K131" s="11" t="str">
        <x:v>No</x:v>
      </x:c>
      <x:c r="L131" s="11" t="str">
        <x:v>https://www.thalia.de/shop/home/artikeldetails/A1068357999</x:v>
      </x:c>
      <x:c r="M131" s="11" t="str">
        <x:v>The Inheritance Games</x:v>
      </x:c>
      <x:c r="N131" s="11" t="str">
        <x:v>Full verified</x:v>
      </x:c>
      <x:c r="O131" s="11" t="str">
        <x:v>Genre is a standardized analytical category for this project.</x:v>
      </x:c>
    </x:row>
    <x:row r="132">
      <x:c r="A132" s="11" t="str">
        <x:v>Frankie - Unter Menschen</x:v>
      </x:c>
      <x:c r="B132" s="11" t="str">
        <x:v>Jochen Gutsch</x:v>
      </x:c>
      <x:c r="C132" s="11" t="str">
        <x:v>978-3-328-60381-8</x:v>
      </x:c>
      <x:c r="D132" s="11" t="str">
        <x:v>Penguin</x:v>
      </x:c>
      <x:c r="E132" s="11" t="str">
        <x:v>Contemporary Fiction</x:v>
      </x:c>
      <x:c r="F132" s="11" t="str">
        <x:v>2026-03-11</x:v>
      </x:c>
      <x:c r="G132" s="14" t="n">
        <x:v>23</x:v>
      </x:c>
      <x:c r="H132" s="11" t="str">
        <x:v>Hardcover</x:v>
      </x:c>
      <x:c r="I132" s="11" t="str">
        <x:v>Yes</x:v>
      </x:c>
      <x:c r="J132" s="11" t="n">
        <x:v>2</x:v>
      </x:c>
      <x:c r="K132" s="11" t="str">
        <x:v>No</x:v>
      </x:c>
      <x:c r="L132" s="11" t="str">
        <x:v>https://content.penguinrandomhouse.de/content/share/EU-Penguin-Belletristik-HC-F26-Web.pdf</x:v>
      </x:c>
      <x:c r="M132" s="11" t="str">
        <x:v>Frankie</x:v>
      </x:c>
      <x:c r="N132" s="11" t="str">
        <x:v>Full verified</x:v>
      </x:c>
      <x:c r="O132" s="11" t="str">
        <x:v>Relevant chart-era edition used; broad genre standardized for analysis.</x:v>
      </x:c>
    </x:row>
    <x:row r="133">
      <x:c r="A133" s="11" t="str">
        <x:v>Frankie</x:v>
      </x:c>
      <x:c r="B133" s="11" t="str">
        <x:v>Jochen Gutsch, Maxim Leo</x:v>
      </x:c>
      <x:c r="C133" s="11" t="str">
        <x:v>978-3-328-11220-4</x:v>
      </x:c>
      <x:c r="D133" s="11" t="str">
        <x:v>Penguin</x:v>
      </x:c>
      <x:c r="E133" s="11" t="str">
        <x:v>Contemporary Fiction</x:v>
      </x:c>
      <x:c r="F133" s="11" t="str">
        <x:v>2025-03-12</x:v>
      </x:c>
      <x:c r="G133" s="14" t="n">
        <x:v>13</x:v>
      </x:c>
      <x:c r="H133" s="11" t="str">
        <x:v>Paperback</x:v>
      </x:c>
      <x:c r="I133" s="11" t="str">
        <x:v>No</x:v>
      </x:c>
      <x:c r="J133" s="11"/>
      <x:c r="K133" s="11" t="str">
        <x:v>No</x:v>
      </x:c>
      <x:c r="L133" s="11" t="str">
        <x:v>https://www.schweitzer-online.de/buch/Gutsch/Frankie/9783328112204/B680408/</x:v>
      </x:c>
      <x:c r="M133" s="11"/>
      <x:c r="N133" s="11" t="str">
        <x:v>Full verified</x:v>
      </x:c>
      <x:c r="O133" s="11" t="str">
        <x:v>Relevant chart-era edition used; broad genre standardized for analysis.</x:v>
      </x:c>
    </x:row>
    <x:row r="134">
      <x:c r="A134" s="11" t="str">
        <x:v>Das Café am Rande der Welt</x:v>
      </x:c>
      <x:c r="B134" s="11" t="str">
        <x:v>John Strelecky</x:v>
      </x:c>
      <x:c r="C134" s="11" t="str">
        <x:v>978-3-423-20969-4</x:v>
      </x:c>
      <x:c r="D134" s="11" t="str">
        <x:v>dtv</x:v>
      </x:c>
      <x:c r="E134" s="11" t="str">
        <x:v>Inspirational Fiction / Self-Help</x:v>
      </x:c>
      <x:c r="F134" s="11" t="str">
        <x:v>2007-02-01</x:v>
      </x:c>
      <x:c r="G134" s="14" t="n">
        <x:v>9.95</x:v>
      </x:c>
      <x:c r="H134" s="11" t="str">
        <x:v>Paperback</x:v>
      </x:c>
      <x:c r="I134" s="11" t="str">
        <x:v>No</x:v>
      </x:c>
      <x:c r="J134" s="11"/>
      <x:c r="K134" s="11" t="str">
        <x:v>No</x:v>
      </x:c>
      <x:c r="L134" s="11" t="str">
        <x:v>https://www.dtv.de/buch/das-cafe-am-rande-der-welt-20969</x:v>
      </x:c>
      <x:c r="M134" s="11"/>
      <x:c r="N134" s="11" t="str">
        <x:v>Full verified</x:v>
      </x:c>
      <x:c r="O134" s="11" t="str">
        <x:v>Relevant chart-era edition used; broad genre standardized for analysis.</x:v>
      </x:c>
    </x:row>
    <x:row r="135">
      <x:c r="A135" s="11" t="str">
        <x:v>The Big Five for Life</x:v>
      </x:c>
      <x:c r="B135" s="11" t="str">
        <x:v>John Strelecky</x:v>
      </x:c>
      <x:c r="C135" s="11" t="str">
        <x:v>978-3-423-34528-6</x:v>
      </x:c>
      <x:c r="D135" s="11" t="str">
        <x:v>dtv</x:v>
      </x:c>
      <x:c r="E135" s="11" t="str">
        <x:v>Self-Help / Business</x:v>
      </x:c>
      <x:c r="F135" s="11" t="str">
        <x:v>2009-02-01</x:v>
      </x:c>
      <x:c r="G135" s="14" t="n">
        <x:v>12</x:v>
      </x:c>
      <x:c r="H135" s="11" t="str">
        <x:v>Taschenbuch</x:v>
      </x:c>
      <x:c r="I135" s="11" t="str">
        <x:v>No</x:v>
      </x:c>
      <x:c r="J135" s="11"/>
      <x:c r="K135" s="11" t="str">
        <x:v>No</x:v>
      </x:c>
      <x:c r="L135" s="11" t="str">
        <x:v>https://www.dtv.de/buch/the-big-five-for-life</x:v>
      </x:c>
      <x:c r="M135" s="11"/>
      <x:c r="N135" s="11" t="str">
        <x:v>Full verified</x:v>
      </x:c>
      <x:c r="O135" s="11" t="str">
        <x:v>Genre is a standardized analytical category for this project.</x:v>
      </x:c>
    </x:row>
    <x:row r="136">
      <x:c r="A136" s="11" t="str">
        <x:v>Zeit für Fragen im Café am Rande der Welt</x:v>
      </x:c>
      <x:c r="B136" s="11" t="str">
        <x:v>John Strelecky</x:v>
      </x:c>
      <x:c r="C136" s="11" t="str">
        <x:v>978-3-423-26407-5</x:v>
      </x:c>
      <x:c r="D136" s="11" t="str">
        <x:v>dtv</x:v>
      </x:c>
      <x:c r="E136" s="11" t="str">
        <x:v>Self-Help / Psychology</x:v>
      </x:c>
      <x:c r="F136" s="11" t="str">
        <x:v>2024-10-17</x:v>
      </x:c>
      <x:c r="G136" s="14"/>
      <x:c r="H136" s="11" t="str">
        <x:v>Taschenbuch</x:v>
      </x:c>
      <x:c r="I136" s="11" t="str">
        <x:v>No</x:v>
      </x:c>
      <x:c r="J136" s="11"/>
      <x:c r="K136" s="11" t="str">
        <x:v>No</x:v>
      </x:c>
      <x:c r="L136" s="11" t="str">
        <x:v>https://www.thalia.de/shop/home/artikeldetails/A1071406845</x:v>
      </x:c>
      <x:c r="M136" s="11"/>
      <x:c r="N136" s="11" t="str">
        <x:v>Full verified</x:v>
      </x:c>
      <x:c r="O136" s="11" t="str">
        <x:v>Relevant German edition used; broad genre standardized for analysis.</x:v>
      </x:c>
    </x:row>
    <x:row r="137">
      <x:c r="A137" s="11" t="str">
        <x:v>Zwischen Ende und Anfang</x:v>
      </x:c>
      <x:c r="B137" s="11" t="str">
        <x:v>Jojo Moyes</x:v>
      </x:c>
      <x:c r="C137" s="11" t="str">
        <x:v>978-3-499-01444-4</x:v>
      </x:c>
      <x:c r="D137" s="11" t="str">
        <x:v>Rowohlt Taschenbuch</x:v>
      </x:c>
      <x:c r="E137" s="11" t="str">
        <x:v>Contemporary Fiction</x:v>
      </x:c>
      <x:c r="F137" s="11" t="str">
        <x:v>2026-04-17</x:v>
      </x:c>
      <x:c r="G137" s="14" t="n">
        <x:v>16</x:v>
      </x:c>
      <x:c r="H137" s="11" t="str">
        <x:v>Paperback</x:v>
      </x:c>
      <x:c r="I137" s="11" t="str">
        <x:v>No</x:v>
      </x:c>
      <x:c r="J137" s="11"/>
      <x:c r="K137" s="11" t="str">
        <x:v>No</x:v>
      </x:c>
      <x:c r="L137" s="11" t="str">
        <x:v>https://www.rowohlt.de/buch/jojo-moyes-zwischen-ende-und-anfang-9783499014444</x:v>
      </x:c>
      <x:c r="M137" s="11"/>
      <x:c r="N137" s="11" t="str">
        <x:v>Full verified</x:v>
      </x:c>
      <x:c r="O137" s="11" t="str">
        <x:v>Relevant chart-era edition used; broad genre standardized for analysis.</x:v>
      </x:c>
    </x:row>
    <x:row r="138">
      <x:c r="A138" s="11" t="str">
        <x:v>Wandering Hearts</x:v>
      </x:c>
      <x:c r="B138" s="11" t="str">
        <x:v>Josi Wismar</x:v>
      </x:c>
      <x:c r="C138" s="11" t="str">
        <x:v>978-3-453-42761-7</x:v>
      </x:c>
      <x:c r="D138" s="11" t="str">
        <x:v>Heyne</x:v>
      </x:c>
      <x:c r="E138" s="11" t="str">
        <x:v>Romance / New Adult</x:v>
      </x:c>
      <x:c r="F138" s="11" t="str">
        <x:v>2024-07-10</x:v>
      </x:c>
      <x:c r="G138" s="14" t="n">
        <x:v>16</x:v>
      </x:c>
      <x:c r="H138" s="11" t="str">
        <x:v>Paperback</x:v>
      </x:c>
      <x:c r="I138" s="11" t="str">
        <x:v>Yes</x:v>
      </x:c>
      <x:c r="J138" s="11" t="n">
        <x:v>1</x:v>
      </x:c>
      <x:c r="K138" s="11" t="str">
        <x:v>No</x:v>
      </x:c>
      <x:c r="L138" s="11" t="str">
        <x:v>https://www.schweitzer-online.de/buch/Wismar/Wandering-Hearts/9783453427617/B...</x:v>
      </x:c>
      <x:c r="M138" s="11" t="str">
        <x:v>Die Wild-Hearts-Reihe</x:v>
      </x:c>
      <x:c r="N138" s="11" t="str">
        <x:v>Full verified</x:v>
      </x:c>
      <x:c r="O138" s="11" t="str">
        <x:v>Relevant German edition used; broad genre standardized for analysis.</x:v>
      </x:c>
    </x:row>
    <x:row r="139">
      <x:c r="A139" s="11" t="str">
        <x:v>Die Sonnenfeuer-Ballade 1: A Song to Raise a Storm</x:v>
      </x:c>
      <x:c r="B139" s="11" t="str">
        <x:v>Julia Dippel</x:v>
      </x:c>
      <x:c r="C139" s="11" t="str">
        <x:v>978-3-522-65544-6</x:v>
      </x:c>
      <x:c r="D139" s="11" t="str">
        <x:v>Planet! / Thienemann-Esslinger</x:v>
      </x:c>
      <x:c r="E139" s="11" t="str">
        <x:v>Fantasy / Romantasy</x:v>
      </x:c>
      <x:c r="F139" s="11" t="str">
        <x:v>2023-10-09</x:v>
      </x:c>
      <x:c r="G139" s="14" t="n">
        <x:v>19</x:v>
      </x:c>
      <x:c r="H139" s="11" t="str">
        <x:v>Hardcover</x:v>
      </x:c>
      <x:c r="I139" s="11" t="str">
        <x:v>Yes</x:v>
      </x:c>
      <x:c r="J139" s="11" t="n">
        <x:v>1</x:v>
      </x:c>
      <x:c r="K139" s="11" t="str">
        <x:v>No</x:v>
      </x:c>
      <x:c r="L139" s="11" t="str">
        <x:v>https://www.thienemann.de/produkt/jugendbuecher/buchreihen/die-sonnenfeuer-ballade-1-a-song-to-raise-a-storm-isbn-978-3-522-65544-6</x:v>
      </x:c>
      <x:c r="M139" s="11" t="str">
        <x:v>Sonnenfeuer-Ballade</x:v>
      </x:c>
      <x:c r="N139" s="11" t="str">
        <x:v>Full verified</x:v>
      </x:c>
      <x:c r="O139" s="11" t="str">
        <x:v>Genre is a standardized analytical category for this project.</x:v>
      </x:c>
    </x:row>
    <x:row r="140">
      <x:c r="A140" s="11" t="str">
        <x:v>Dark Elite - Regrets</x:v>
      </x:c>
      <x:c r="B140" s="11" t="str">
        <x:v>Julia Hausburg</x:v>
      </x:c>
      <x:c r="C140" s="11" t="str">
        <x:v>978-3-453-42861-4</x:v>
      </x:c>
      <x:c r="D140" s="11" t="str">
        <x:v>Heyne</x:v>
      </x:c>
      <x:c r="E140" s="11" t="str">
        <x:v>Romance / New Adult</x:v>
      </x:c>
      <x:c r="F140" s="11" t="str">
        <x:v>2024-02-14</x:v>
      </x:c>
      <x:c r="G140" s="14" t="n">
        <x:v>16</x:v>
      </x:c>
      <x:c r="H140" s="11" t="str">
        <x:v>Paperback</x:v>
      </x:c>
      <x:c r="I140" s="11" t="str">
        <x:v>Yes</x:v>
      </x:c>
      <x:c r="J140" s="11" t="n">
        <x:v>2</x:v>
      </x:c>
      <x:c r="K140" s="11" t="str">
        <x:v>No</x:v>
      </x:c>
      <x:c r="L140" s="11" t="str">
        <x:v>https://www.thalia.de/shop/home/artikeldetails/A1068358051</x:v>
      </x:c>
      <x:c r="M140" s="11" t="str">
        <x:v>Dark Elite</x:v>
      </x:c>
      <x:c r="N140" s="11" t="str">
        <x:v>Full verified</x:v>
      </x:c>
      <x:c r="O140" s="11" t="str">
        <x:v>Relevant German edition used; broad genre standardized for analysis.</x:v>
      </x:c>
    </x:row>
    <x:row r="141">
      <x:c r="A141" s="11" t="str">
        <x:v>Dark Elite - Revenge</x:v>
      </x:c>
      <x:c r="B141" s="11" t="str">
        <x:v>Julia Hausburg</x:v>
      </x:c>
      <x:c r="C141" s="11" t="str">
        <x:v>978-3-453-42860-7</x:v>
      </x:c>
      <x:c r="D141" s="11" t="str">
        <x:v>Heyne</x:v>
      </x:c>
      <x:c r="E141" s="11" t="str">
        <x:v>Romance / New Adult</x:v>
      </x:c>
      <x:c r="F141" s="11" t="str">
        <x:v>2023-10-11</x:v>
      </x:c>
      <x:c r="G141" s="14" t="n">
        <x:v>16</x:v>
      </x:c>
      <x:c r="H141" s="11" t="str">
        <x:v>Paperback</x:v>
      </x:c>
      <x:c r="I141" s="11" t="str">
        <x:v>Yes</x:v>
      </x:c>
      <x:c r="J141" s="11" t="n">
        <x:v>1</x:v>
      </x:c>
      <x:c r="K141" s="11" t="str">
        <x:v>No</x:v>
      </x:c>
      <x:c r="L141" s="11" t="str">
        <x:v>https://www.schweitzer-online.de/buch/Hausburg/Dark-Elite-Revenge/9783453428607/B627819/</x:v>
      </x:c>
      <x:c r="M141" s="11" t="str">
        <x:v>Dark Elite</x:v>
      </x:c>
      <x:c r="N141" s="11" t="str">
        <x:v>Full verified</x:v>
      </x:c>
      <x:c r="O141" s="11" t="str">
        <x:v>Genre is a standardized analytical category for this project.</x:v>
      </x:c>
    </x:row>
    <x:row r="142">
      <x:c r="A142" s="11" t="str">
        <x:v>Villains Are Made (1). Der Fluch der Medusa</x:v>
      </x:c>
      <x:c r="B142" s="11" t="str">
        <x:v>Julia Holz</x:v>
      </x:c>
      <x:c r="C142" s="11" t="str">
        <x:v>978-3-401-60837-2</x:v>
      </x:c>
      <x:c r="D142" s="11" t="str">
        <x:v>Arena</x:v>
      </x:c>
      <x:c r="E142" s="11" t="str">
        <x:v>Fantasy / Romantasy</x:v>
      </x:c>
      <x:c r="F142" s="11" t="str">
        <x:v>2026-03-02</x:v>
      </x:c>
      <x:c r="G142" s="14" t="n">
        <x:v>18</x:v>
      </x:c>
      <x:c r="H142" s="11" t="str">
        <x:v>Klappenbroschur</x:v>
      </x:c>
      <x:c r="I142" s="11" t="str">
        <x:v>Yes</x:v>
      </x:c>
      <x:c r="J142" s="11" t="n">
        <x:v>1</x:v>
      </x:c>
      <x:c r="K142" s="11" t="str">
        <x:v>No</x:v>
      </x:c>
      <x:c r="L142" s="11" t="str">
        <x:v>https://www.arena-verlag.de/artikel/villains-are-made-1-der-fluch-der-medusa-978-3-401-60837-2</x:v>
      </x:c>
      <x:c r="M142" s="11" t="str">
        <x:v>Villains Are Made</x:v>
      </x:c>
      <x:c r="N142" s="11" t="str">
        <x:v>Full verified</x:v>
      </x:c>
      <x:c r="O142" s="11" t="str">
        <x:v>Relevant chart-era edition used; broad genre standardized for analysis.</x:v>
      </x:c>
    </x:row>
    <x:row r="143">
      <x:c r="A143" s="11" t="str">
        <x:v>The Wind Weaver (Wind Weaver 1)</x:v>
      </x:c>
      <x:c r="B143" s="11" t="str">
        <x:v>Julie Johnson</x:v>
      </x:c>
      <x:c r="C143" s="11" t="str">
        <x:v>978-3-95818-809-9</x:v>
      </x:c>
      <x:c r="D143" s="11" t="str">
        <x:v>Forever / Ullstein</x:v>
      </x:c>
      <x:c r="E143" s="11" t="str">
        <x:v>Fantasy / Romantasy</x:v>
      </x:c>
      <x:c r="F143" s="11" t="str">
        <x:v>2025-05-02</x:v>
      </x:c>
      <x:c r="G143" s="14" t="n">
        <x:v>24.99</x:v>
      </x:c>
      <x:c r="H143" s="11" t="str">
        <x:v>Hardcover</x:v>
      </x:c>
      <x:c r="I143" s="11" t="str">
        <x:v>Yes</x:v>
      </x:c>
      <x:c r="J143" s="11" t="n">
        <x:v>1</x:v>
      </x:c>
      <x:c r="K143" s="11" t="str">
        <x:v>No</x:v>
      </x:c>
      <x:c r="L143" s="11" t="str">
        <x:v>https://www.thalia.de/shop/home/artikeldetails/A1073326456</x:v>
      </x:c>
      <x:c r="M143" s="11" t="str">
        <x:v>Wind Weaver</x:v>
      </x:c>
      <x:c r="N143" s="11" t="str">
        <x:v>Full verified</x:v>
      </x:c>
      <x:c r="O143" s="11" t="str">
        <x:v>Relevant chart-era edition used; broad genre standardized for analysis.</x:v>
      </x:c>
    </x:row>
    <x:row r="144">
      <x:c r="A144" s="11" t="str">
        <x:v>Rose in Chains</x:v>
      </x:c>
      <x:c r="B144" s="11" t="str">
        <x:v>Julie Soto</x:v>
      </x:c>
      <x:c r="C144" s="11" t="str">
        <x:v>978-3-442-20686-5</x:v>
      </x:c>
      <x:c r="D144" s="11" t="str">
        <x:v>Goldmann</x:v>
      </x:c>
      <x:c r="E144" s="11" t="str">
        <x:v>Fantasy / Romantasy</x:v>
      </x:c>
      <x:c r="F144" s="11" t="str">
        <x:v>2025-07-16</x:v>
      </x:c>
      <x:c r="G144" s="14" t="n">
        <x:v>18</x:v>
      </x:c>
      <x:c r="H144" s="11" t="str">
        <x:v>Paperback</x:v>
      </x:c>
      <x:c r="I144" s="11" t="str">
        <x:v>Yes</x:v>
      </x:c>
      <x:c r="J144" s="11" t="n">
        <x:v>1</x:v>
      </x:c>
      <x:c r="K144" s="11" t="str">
        <x:v>No</x:v>
      </x:c>
      <x:c r="L144" s="11" t="str">
        <x:v>https://www.buchkatalog.de/9783442206865</x:v>
      </x:c>
      <x:c r="M144" s="11" t="str">
        <x:v>Evermore</x:v>
      </x:c>
      <x:c r="N144" s="11" t="str">
        <x:v>Full verified</x:v>
      </x:c>
      <x:c r="O144" s="11" t="str">
        <x:v>Relevant chart-era edition used; broad genre standardized for analysis.</x:v>
      </x:c>
    </x:row>
    <x:row r="145">
      <x:c r="A145" s="11" t="str">
        <x:v>Leave Me Behind</x:v>
      </x:c>
      <x:c r="B145" s="11" t="str">
        <x:v>K M Moronova</x:v>
      </x:c>
      <x:c r="C145" s="11" t="str">
        <x:v>978-3-7341-1520-2</x:v>
      </x:c>
      <x:c r="D145" s="11" t="str">
        <x:v>Blush Blanvalet</x:v>
      </x:c>
      <x:c r="E145" s="11" t="str">
        <x:v>Dark Romance</x:v>
      </x:c>
      <x:c r="F145" s="11" t="str">
        <x:v>2025-10-01</x:v>
      </x:c>
      <x:c r="G145" s="14" t="n">
        <x:v>17</x:v>
      </x:c>
      <x:c r="H145" s="11" t="str">
        <x:v>Paperback</x:v>
      </x:c>
      <x:c r="I145" s="11" t="str">
        <x:v>No</x:v>
      </x:c>
      <x:c r="J145" s="11"/>
      <x:c r="K145" s="11" t="str">
        <x:v>No</x:v>
      </x:c>
      <x:c r="L145" s="11" t="str">
        <x:v>https://www.hugendubel.de/de/buch_kartoniert/k_m_moronova-leave_me_behind-50370877-produkt-details.html</x:v>
      </x:c>
      <x:c r="M145" s="11"/>
      <x:c r="N145" s="11" t="str">
        <x:v>Full verified</x:v>
      </x:c>
      <x:c r="O145" s="11" t="str">
        <x:v>Relevant chart-era edition used; broad genre standardized for analysis.</x:v>
      </x:c>
    </x:row>
    <x:row r="146">
      <x:c r="A146" s="11" t="str">
        <x:v>My Blade, Your Back</x:v>
      </x:c>
      <x:c r="B146" s="11" t="str">
        <x:v>K M Moronova</x:v>
      </x:c>
      <x:c r="C146" s="11" t="str">
        <x:v>978-3-7341-1522-6</x:v>
      </x:c>
      <x:c r="D146" s="11" t="str">
        <x:v>Blush Blanvalet</x:v>
      </x:c>
      <x:c r="E146" s="11" t="str">
        <x:v>Dark Romance</x:v>
      </x:c>
      <x:c r="F146" s="11" t="str">
        <x:v>2025-12-24</x:v>
      </x:c>
      <x:c r="G146" s="14" t="n">
        <x:v>17</x:v>
      </x:c>
      <x:c r="H146" s="11" t="str">
        <x:v>Paperback</x:v>
      </x:c>
      <x:c r="I146" s="11" t="str">
        <x:v>Yes</x:v>
      </x:c>
      <x:c r="J146" s="11" t="n">
        <x:v>2</x:v>
      </x:c>
      <x:c r="K146" s="11" t="str">
        <x:v>No</x:v>
      </x:c>
      <x:c r="L146" s="11" t="str">
        <x:v>https://www.osiander.de/shop/home/artikeldetails/A1074982958</x:v>
      </x:c>
      <x:c r="M146" s="11" t="str">
        <x:v>Dark Forces</x:v>
      </x:c>
      <x:c r="N146" s="11" t="str">
        <x:v>Full verified</x:v>
      </x:c>
      <x:c r="O146" s="11" t="str">
        <x:v>Relevant chart-era edition used; broad genre standardized for analysis.</x:v>
      </x:c>
    </x:row>
    <x:row r="147">
      <x:c r="A147" s="11" t="str">
        <x:v>Your Knife, My Heart</x:v>
      </x:c>
      <x:c r="B147" s="11" t="str">
        <x:v>K M Moronova</x:v>
      </x:c>
      <x:c r="C147" s="11" t="str">
        <x:v>978-3-7341-1521-9</x:v>
      </x:c>
      <x:c r="D147" s="11" t="str">
        <x:v>Blush Blanvalet</x:v>
      </x:c>
      <x:c r="E147" s="11" t="str">
        <x:v>Dark Romance</x:v>
      </x:c>
      <x:c r="F147" s="11" t="str">
        <x:v>2025-11-26</x:v>
      </x:c>
      <x:c r="G147" s="14" t="n">
        <x:v>17</x:v>
      </x:c>
      <x:c r="H147" s="11" t="str">
        <x:v>Paperback</x:v>
      </x:c>
      <x:c r="I147" s="11" t="str">
        <x:v>Yes</x:v>
      </x:c>
      <x:c r="J147" s="11" t="n">
        <x:v>1</x:v>
      </x:c>
      <x:c r="K147" s="11" t="str">
        <x:v>No</x:v>
      </x:c>
      <x:c r="L147" s="11" t="str">
        <x:v>https://www.vub.de/portal/r/u/isbn%3A9783734115219/detail</x:v>
      </x:c>
      <x:c r="M147" s="11" t="str">
        <x:v>Dark Forces</x:v>
      </x:c>
      <x:c r="N147" s="11" t="str">
        <x:v>Full verified</x:v>
      </x:c>
      <x:c r="O147" s="11" t="str">
        <x:v>Relevant chart-era edition used; broad genre standardized for analysis.</x:v>
      </x:c>
    </x:row>
    <x:row r="148">
      <x:c r="A148" s="11" t="str">
        <x:v>50 Sätze, die das Leben leichter machen</x:v>
      </x:c>
      <x:c r="B148" s="11" t="str">
        <x:v>Karin Kuschik</x:v>
      </x:c>
      <x:c r="C148" s="11" t="str">
        <x:v>978-3-499-00836-8</x:v>
      </x:c>
      <x:c r="D148" s="11" t="str">
        <x:v>Rowohlt Taschenbuch</x:v>
      </x:c>
      <x:c r="E148" s="11" t="str">
        <x:v>Self-Help / Psychology</x:v>
      </x:c>
      <x:c r="F148" s="11" t="str">
        <x:v>2022-03-22</x:v>
      </x:c>
      <x:c r="G148" s="14" t="n">
        <x:v>16</x:v>
      </x:c>
      <x:c r="H148" s="11" t="str">
        <x:v>Taschenbuch</x:v>
      </x:c>
      <x:c r="I148" s="11" t="str">
        <x:v>No</x:v>
      </x:c>
      <x:c r="J148" s="11"/>
      <x:c r="K148" s="11"/>
      <x:c r="L148" s="11" t="str">
        <x:v>https://www.thalia.de/shop/home/artikeldetails/A1062244395</x:v>
      </x:c>
      <x:c r="M148" s="11"/>
      <x:c r="N148" s="11" t="str">
        <x:v>Full verified</x:v>
      </x:c>
      <x:c r="O148" s="11" t="str">
        <x:v>Genre is a standardized analytical category for this project.</x:v>
      </x:c>
    </x:row>
    <x:row r="149">
      <x:c r="A149" s="11" t="str">
        <x:v>It Takes a Monster. Dragonblood Academy</x:v>
      </x:c>
      <x:c r="B149" s="11" t="str">
        <x:v>Karolyn Ciseau</x:v>
      </x:c>
      <x:c r="C149" s="11" t="str">
        <x:v>978-3-68937-007-7</x:v>
      </x:c>
      <x:c r="D149" s="11" t="str">
        <x:v>Edition Grace O’Malley / Drachenmond</x:v>
      </x:c>
      <x:c r="E149" s="11" t="str">
        <x:v>Fantasy / Romantasy</x:v>
      </x:c>
      <x:c r="F149" s="11" t="str">
        <x:v>2025-08-07</x:v>
      </x:c>
      <x:c r="G149" s="14" t="n">
        <x:v>24</x:v>
      </x:c>
      <x:c r="H149" s="11" t="str">
        <x:v>Hardcover</x:v>
      </x:c>
      <x:c r="I149" s="11" t="str">
        <x:v>Yes</x:v>
      </x:c>
      <x:c r="J149" s="11" t="n">
        <x:v>1</x:v>
      </x:c>
      <x:c r="K149" s="11" t="str">
        <x:v>No</x:v>
      </x:c>
      <x:c r="L149" s="11" t="str">
        <x:v>https://www.selfpublisher-verband.de/buecher/it-takes-a-monster-dragonblood-academy/</x:v>
      </x:c>
      <x:c r="M149" s="11" t="str">
        <x:v>Dragonblood Academy</x:v>
      </x:c>
      <x:c r="N149" s="11" t="str">
        <x:v>Core verified</x:v>
      </x:c>
      <x:c r="O149" s="11" t="str">
        <x:v>Small-press edition; not coded as self-published without stronger evidence of author-controlled publication.</x:v>
      </x:c>
    </x:row>
    <x:row r="150">
      <x:c r="A150" s="11" t="str">
        <x:v>The Ravenhood - Exodus</x:v>
      </x:c>
      <x:c r="B150" s="11" t="str">
        <x:v>Kate Stewart</x:v>
      </x:c>
      <x:c r="C150" s="11" t="str">
        <x:v>978-3-641-30536-9</x:v>
      </x:c>
      <x:c r="D150" s="11" t="str">
        <x:v>Blanvalet</x:v>
      </x:c>
      <x:c r="E150" s="11" t="str">
        <x:v>Dark Romance</x:v>
      </x:c>
      <x:c r="F150" s="11" t="str">
        <x:v>2023-05-17</x:v>
      </x:c>
      <x:c r="G150" s="14" t="n">
        <x:v>15</x:v>
      </x:c>
      <x:c r="H150" s="11" t="str">
        <x:v>Paperback</x:v>
      </x:c>
      <x:c r="I150" s="11" t="str">
        <x:v>Yes</x:v>
      </x:c>
      <x:c r="J150" s="11" t="n">
        <x:v>2</x:v>
      </x:c>
      <x:c r="K150" s="11" t="str">
        <x:v>No</x:v>
      </x:c>
      <x:c r="L150" s="11" t="str">
        <x:v>https://content.penguinrandomhouse.de/content/share/TB-Belletristik-Blanvalet-F25-Web.pdf</x:v>
      </x:c>
      <x:c r="M150" s="11" t="str">
        <x:v>The Ravenhood</x:v>
      </x:c>
      <x:c r="N150" s="11" t="str">
        <x:v>Full verified</x:v>
      </x:c>
      <x:c r="O150" s="11" t="str">
        <x:v>Genre is a standardized analytical category for this project.</x:v>
      </x:c>
    </x:row>
    <x:row r="151">
      <x:c r="A151" s="11" t="str">
        <x:v>Girl in Pieces</x:v>
      </x:c>
      <x:c r="B151" s="11" t="str">
        <x:v>Kathleen Glasgow</x:v>
      </x:c>
      <x:c r="C151" s="11" t="str">
        <x:v>978-3-7335-0416-8</x:v>
      </x:c>
      <x:c r="D151" s="11" t="str">
        <x:v>Fischer Sauerländer</x:v>
      </x:c>
      <x:c r="E151" s="11" t="str">
        <x:v>YA / Coming-of-Age</x:v>
      </x:c>
      <x:c r="F151" s="11" t="str">
        <x:v>2022-07-22</x:v>
      </x:c>
      <x:c r="G151" s="14"/>
      <x:c r="H151" s="11" t="str">
        <x:v>Paperback</x:v>
      </x:c>
      <x:c r="I151" s="11" t="str">
        <x:v>No</x:v>
      </x:c>
      <x:c r="J151" s="11"/>
      <x:c r="K151" s="11"/>
      <x:c r="L151" s="11" t="str">
        <x:v>https://www.fischer-sauerlaender.de/buch/kathleen-glasgow-kathleen-glasgow-girl-in-pieces-9783733504168</x:v>
      </x:c>
      <x:c r="M151" s="11"/>
      <x:c r="N151" s="11" t="str">
        <x:v>Full verified</x:v>
      </x:c>
      <x:c r="O151" s="11" t="str">
        <x:v>Genre is a standardized analytical category for this project.</x:v>
      </x:c>
    </x:row>
    <x:row r="152">
      <x:c r="A152" s="11" t="str">
        <x:v>Ikigai</x:v>
      </x:c>
      <x:c r="B152" s="11" t="str">
        <x:v>Ken Mogi</x:v>
      </x:c>
      <x:c r="C152" s="11" t="str">
        <x:v>978-3-8321-6516-1</x:v>
      </x:c>
      <x:c r="D152" s="11" t="str">
        <x:v>DuMont</x:v>
      </x:c>
      <x:c r="E152" s="11" t="str">
        <x:v>Self-Help / Psychology</x:v>
      </x:c>
      <x:c r="F152" s="11" t="str">
        <x:v>2020</x:v>
      </x:c>
      <x:c r="G152" s="14" t="n">
        <x:v>13</x:v>
      </x:c>
      <x:c r="H152" s="11" t="str">
        <x:v>Paperback</x:v>
      </x:c>
      <x:c r="I152" s="11" t="str">
        <x:v>No</x:v>
      </x:c>
      <x:c r="J152" s="11"/>
      <x:c r="K152" s="11" t="str">
        <x:v>No</x:v>
      </x:c>
      <x:c r="L152" s="11" t="str">
        <x:v>https://www.buchkatalog.de/ikigai-9783832165161</x:v>
      </x:c>
      <x:c r="M152" s="11"/>
      <x:c r="N152" s="11" t="str">
        <x:v>Full verified</x:v>
      </x:c>
      <x:c r="O152" s="11" t="str">
        <x:v>Widely sold German paperback edition used for the backlist title.</x:v>
      </x:c>
    </x:row>
    <x:row r="153">
      <x:c r="A153" s="11" t="str">
        <x:v>Anathema</x:v>
      </x:c>
      <x:c r="B153" s="11" t="str">
        <x:v>Keri Lake</x:v>
      </x:c>
      <x:c r="C153" s="11" t="str">
        <x:v>978-3-7363-2681-1</x:v>
      </x:c>
      <x:c r="D153" s="11" t="str">
        <x:v>LYX</x:v>
      </x:c>
      <x:c r="E153" s="11" t="str">
        <x:v>Fantasy / Romantasy</x:v>
      </x:c>
      <x:c r="F153" s="11" t="str">
        <x:v>2026-06-01</x:v>
      </x:c>
      <x:c r="G153" s="14" t="n">
        <x:v>18</x:v>
      </x:c>
      <x:c r="H153" s="11" t="str">
        <x:v>Paperback</x:v>
      </x:c>
      <x:c r="I153" s="11" t="str">
        <x:v>Yes</x:v>
      </x:c>
      <x:c r="J153" s="11" t="n">
        <x:v>1</x:v>
      </x:c>
      <x:c r="K153" s="11" t="str">
        <x:v>No</x:v>
      </x:c>
      <x:c r="L153" s="11" t="str">
        <x:v>https://www.thalia.de/shop/home/artikeldetails/A1077212846</x:v>
      </x:c>
      <x:c r="M153" s="11" t="str">
        <x:v>The Eating Woods</x:v>
      </x:c>
      <x:c r="N153" s="11" t="str">
        <x:v>Full verified</x:v>
      </x:c>
      <x:c r="O153" s="11" t="str">
        <x:v>Relevant chart-era edition used; broad genre standardized for analysis.</x:v>
      </x:c>
    </x:row>
    <x:row r="154">
      <x:c r="A154" s="11" t="str">
        <x:v>Liebe geht durch alle Zeiten (1). Rubinrot</x:v>
      </x:c>
      <x:c r="B154" s="11" t="str">
        <x:v>Kerstin Gier</x:v>
      </x:c>
      <x:c r="C154" s="11"/>
      <x:c r="D154" s="11" t="str">
        <x:v>Arena / Fischer-related backlist</x:v>
      </x:c>
      <x:c r="E154" s="11" t="str">
        <x:v>Fantasy / YA</x:v>
      </x:c>
      <x:c r="F154" s="11" t="str">
        <x:v>2009</x:v>
      </x:c>
      <x:c r="G154" s="14"/>
      <x:c r="H154" s="11" t="str">
        <x:v>Hardcover</x:v>
      </x:c>
      <x:c r="I154" s="11" t="str">
        <x:v>Yes</x:v>
      </x:c>
      <x:c r="J154" s="11" t="n">
        <x:v>1</x:v>
      </x:c>
      <x:c r="K154" s="11" t="str">
        <x:v>No</x:v>
      </x:c>
      <x:c r="L154" s="11" t="str">
        <x:v>https://www.fischerverlage.de/</x:v>
      </x:c>
      <x:c r="M154" s="11" t="str">
        <x:v>Liebe geht durch alle Zeiten</x:v>
      </x:c>
      <x:c r="N154" s="11" t="str">
        <x:v>Edition ambiguous</x:v>
      </x:c>
      <x:c r="O154" s="11" t="str">
        <x:v>Long-running backlist work; exact 2025 charted print edition could not be pinned down reliably, so no ISBN is assigned.</x:v>
      </x:c>
    </x:row>
    <x:row r="155">
      <x:c r="A155" s="11" t="str">
        <x:v>Vergissmeinnicht - Was bisher verloren war</x:v>
      </x:c>
      <x:c r="B155" s="11" t="str">
        <x:v>Kerstin Gier</x:v>
      </x:c>
      <x:c r="C155" s="11" t="str">
        <x:v>978-3-949465-09-3</x:v>
      </x:c>
      <x:c r="D155" s="11" t="str">
        <x:v>FISCHER</x:v>
      </x:c>
      <x:c r="E155" s="11" t="str">
        <x:v>Fantasy / Romantasy</x:v>
      </x:c>
      <x:c r="F155" s="11" t="str">
        <x:v>2023-06-28</x:v>
      </x:c>
      <x:c r="G155" s="14"/>
      <x:c r="H155" s="11" t="str">
        <x:v>Hardcover</x:v>
      </x:c>
      <x:c r="I155" s="11" t="str">
        <x:v>Yes</x:v>
      </x:c>
      <x:c r="J155" s="11" t="n">
        <x:v>2</x:v>
      </x:c>
      <x:c r="K155" s="11"/>
      <x:c r="L155" s="11" t="str">
        <x:v>https://www.fischerverlage.de/buch/kerstin-gier-vergissmeinnicht-was-bisher-verloren-war-9783949465093</x:v>
      </x:c>
      <x:c r="M155" s="11" t="str">
        <x:v>Vergissmeinnicht</x:v>
      </x:c>
      <x:c r="N155" s="11" t="str">
        <x:v>Full verified</x:v>
      </x:c>
      <x:c r="O155" s="11" t="str">
        <x:v>Genre is a standardized analytical category for this project.</x:v>
      </x:c>
    </x:row>
    <x:row r="156">
      <x:c r="A156" s="11" t="str">
        <x:v>Vergissmeinnicht - Was die Welt zusammenhält</x:v>
      </x:c>
      <x:c r="B156" s="11" t="str">
        <x:v>Kerstin Gier</x:v>
      </x:c>
      <x:c r="C156" s="11" t="str">
        <x:v>978-3-949465-19-2</x:v>
      </x:c>
      <x:c r="D156" s="11" t="str">
        <x:v>FISCHER</x:v>
      </x:c>
      <x:c r="E156" s="11" t="str">
        <x:v>Fantasy / Romantasy</x:v>
      </x:c>
      <x:c r="F156" s="11" t="str">
        <x:v>2024-11-27</x:v>
      </x:c>
      <x:c r="G156" s="14" t="n">
        <x:v>24</x:v>
      </x:c>
      <x:c r="H156" s="11" t="str">
        <x:v>Hardcover</x:v>
      </x:c>
      <x:c r="I156" s="11" t="str">
        <x:v>Yes</x:v>
      </x:c>
      <x:c r="J156" s="11" t="n">
        <x:v>3</x:v>
      </x:c>
      <x:c r="K156" s="11" t="str">
        <x:v>No</x:v>
      </x:c>
      <x:c r="L156" s="11" t="str">
        <x:v>https://www.fischerverlage.de/buch/kerstin-gier-vergissmeinnicht-was-die-welt...</x:v>
      </x:c>
      <x:c r="M156" s="11" t="str">
        <x:v>Vergissmeinnicht</x:v>
      </x:c>
      <x:c r="N156" s="11" t="str">
        <x:v>Full verified</x:v>
      </x:c>
      <x:c r="O156" s="11" t="str">
        <x:v>Relevant German edition used; broad genre standardized for analysis.</x:v>
      </x:c>
    </x:row>
    <x:row r="157">
      <x:c r="A157" s="11" t="str">
        <x:v>Vergissmeinnicht - Was man bei Licht nicht sehen kann</x:v>
      </x:c>
      <x:c r="B157" s="11" t="str">
        <x:v>Kerstin Gier</x:v>
      </x:c>
      <x:c r="C157" s="11" t="str">
        <x:v>978-3-949465-00-0</x:v>
      </x:c>
      <x:c r="D157" s="11" t="str">
        <x:v>FISCHER</x:v>
      </x:c>
      <x:c r="E157" s="11" t="str">
        <x:v>Fantasy / Romantasy</x:v>
      </x:c>
      <x:c r="F157" s="11"/>
      <x:c r="G157" s="14" t="n">
        <x:v>22</x:v>
      </x:c>
      <x:c r="H157" s="11" t="str">
        <x:v>Hardcover</x:v>
      </x:c>
      <x:c r="I157" s="11" t="str">
        <x:v>Yes</x:v>
      </x:c>
      <x:c r="J157" s="11" t="n">
        <x:v>1</x:v>
      </x:c>
      <x:c r="K157" s="11"/>
      <x:c r="L157" s="11" t="str">
        <x:v>https://www.thalia.de/shop/home/artikeldetails/A1060795530</x:v>
      </x:c>
      <x:c r="M157" s="11" t="str">
        <x:v>Vergissmeinnicht</x:v>
      </x:c>
      <x:c r="N157" s="11" t="str">
        <x:v>Core verified</x:v>
      </x:c>
      <x:c r="O157" s="11" t="str">
        <x:v>Genre is a standardized analytical category for this project.</x:v>
      </x:c>
    </x:row>
    <x:row r="158">
      <x:c r="A158" s="11" t="str">
        <x:v>Jeden Tag einen Schritt</x:v>
      </x:c>
      <x:c r="B158" s="11" t="str">
        <x:v>Kiarash Hossainpour, Philip Hopf</x:v>
      </x:c>
      <x:c r="C158" s="11" t="str">
        <x:v>978-3-689-36031-3</x:v>
      </x:c>
      <x:c r="D158" s="11" t="str">
        <x:v>NXT LVL / Next Level Verlag</x:v>
      </x:c>
      <x:c r="E158" s="11" t="str">
        <x:v>Self-Help / Business</x:v>
      </x:c>
      <x:c r="F158" s="11" t="str">
        <x:v>2024-12-03</x:v>
      </x:c>
      <x:c r="G158" s="14"/>
      <x:c r="H158" s="11" t="str">
        <x:v>Hardcover</x:v>
      </x:c>
      <x:c r="I158" s="11" t="str">
        <x:v>No</x:v>
      </x:c>
      <x:c r="J158" s="11"/>
      <x:c r="K158" s="11" t="str">
        <x:v>No</x:v>
      </x:c>
      <x:c r="L158" s="11" t="str">
        <x:v>https://www.vub.de/portal/r/u/isbn%3A9783689360313/jeden-tag-einen-schritt</x:v>
      </x:c>
      <x:c r="M158" s="11"/>
      <x:c r="N158" s="11" t="str">
        <x:v>Full verified</x:v>
      </x:c>
      <x:c r="O158" s="11" t="str">
        <x:v>Relevant chart-era edition used; broad genre standardized for analysis.</x:v>
      </x:c>
    </x:row>
    <x:row r="159">
      <x:c r="A159" s="11" t="str">
        <x:v>Masked by Nightfall</x:v>
      </x:c>
      <x:c r="B159" s="11" t="str">
        <x:v>Kim Nina Ocker</x:v>
      </x:c>
      <x:c r="C159" s="11" t="str">
        <x:v>978-3-7363-2692-7</x:v>
      </x:c>
      <x:c r="D159" s="11" t="str">
        <x:v>LYX</x:v>
      </x:c>
      <x:c r="E159" s="11" t="str">
        <x:v>Fantasy / Romantasy</x:v>
      </x:c>
      <x:c r="F159" s="11" t="str">
        <x:v>2026-04-27</x:v>
      </x:c>
      <x:c r="G159" s="14" t="n">
        <x:v>24</x:v>
      </x:c>
      <x:c r="H159" s="11" t="str">
        <x:v>Hardcover</x:v>
      </x:c>
      <x:c r="I159" s="11" t="str">
        <x:v>Yes</x:v>
      </x:c>
      <x:c r="J159" s="11" t="n">
        <x:v>1</x:v>
      </x:c>
      <x:c r="K159" s="11" t="str">
        <x:v>No</x:v>
      </x:c>
      <x:c r="L159" s="11" t="str">
        <x:v>https://www.kimninaocker.de/last-shadows</x:v>
      </x:c>
      <x:c r="M159" s="11" t="str">
        <x:v>Last Shadows</x:v>
      </x:c>
      <x:c r="N159" s="11" t="str">
        <x:v>Full verified</x:v>
      </x:c>
      <x:c r="O159" s="11" t="str">
        <x:v>Relevant chart-era edition used; broad genre standardized for analysis.</x:v>
      </x:c>
    </x:row>
    <x:row r="160">
      <x:c r="A160" s="11" t="str">
        <x:v>A Spark of Time - Rendezvous auf der Titanic</x:v>
      </x:c>
      <x:c r="B160" s="11" t="str">
        <x:v>Kira Licht</x:v>
      </x:c>
      <x:c r="C160" s="11" t="str">
        <x:v>978-3-8466-0217-1</x:v>
      </x:c>
      <x:c r="D160" s="11" t="str">
        <x:v>ONE</x:v>
      </x:c>
      <x:c r="E160" s="11" t="str">
        <x:v>Fantasy / YA</x:v>
      </x:c>
      <x:c r="F160" s="11" t="str">
        <x:v>2024-03-28</x:v>
      </x:c>
      <x:c r="G160" s="14"/>
      <x:c r="H160" s="11" t="str">
        <x:v>Taschenbuch</x:v>
      </x:c>
      <x:c r="I160" s="11" t="str">
        <x:v>Yes</x:v>
      </x:c>
      <x:c r="J160" s="11" t="n">
        <x:v>1</x:v>
      </x:c>
      <x:c r="K160" s="11" t="str">
        <x:v>No</x:v>
      </x:c>
      <x:c r="L160" s="11" t="str">
        <x:v>https://www.thalia.de/shop/home/artikeldetails/A1070064469</x:v>
      </x:c>
      <x:c r="M160" s="11" t="str">
        <x:v>A Spark of Time</x:v>
      </x:c>
      <x:c r="N160" s="11" t="str">
        <x:v>Full verified</x:v>
      </x:c>
      <x:c r="O160" s="11" t="str">
        <x:v>Relevant German edition used; broad genre standardized for analysis.</x:v>
      </x:c>
    </x:row>
    <x:row r="161">
      <x:c r="A161" s="11" t="str">
        <x:v>Rebel Witch. Der rote Nachtfalter</x:v>
      </x:c>
      <x:c r="B161" s="11" t="str">
        <x:v>Kristen Ciccarelli</x:v>
      </x:c>
      <x:c r="C161" s="11" t="str">
        <x:v>978-3-473-40252-6</x:v>
      </x:c>
      <x:c r="D161" s="11" t="str">
        <x:v>Ravensburger</x:v>
      </x:c>
      <x:c r="E161" s="11" t="str">
        <x:v>Fantasy / Romantasy</x:v>
      </x:c>
      <x:c r="F161" s="11" t="str">
        <x:v>2025</x:v>
      </x:c>
      <x:c r="G161" s="14" t="n">
        <x:v>17.99</x:v>
      </x:c>
      <x:c r="H161" s="11" t="str">
        <x:v>Klappenbroschur</x:v>
      </x:c>
      <x:c r="I161" s="11" t="str">
        <x:v>Yes</x:v>
      </x:c>
      <x:c r="J161" s="11" t="n">
        <x:v>2</x:v>
      </x:c>
      <x:c r="K161" s="11" t="str">
        <x:v>No</x:v>
      </x:c>
      <x:c r="L161" s="11" t="str">
        <x:v>https://www.ravensburger.de/de-DE/produkte/jugendbuecher/young-adult/rebel-witch-40252</x:v>
      </x:c>
      <x:c r="M161" s="11" t="str">
        <x:v>Der rote Nachtfalter</x:v>
      </x:c>
      <x:c r="N161" s="11" t="str">
        <x:v>Core verified</x:v>
      </x:c>
      <x:c r="O161" s="11" t="str">
        <x:v>Print ISBN/format/series verified; exact day not retained.</x:v>
      </x:c>
    </x:row>
    <x:row r="162">
      <x:c r="A162" s="11" t="str">
        <x:v>The First to Fall</x:v>
      </x:c>
      <x:c r="B162" s="11" t="str">
        <x:v>Kristina Moninger</x:v>
      </x:c>
      <x:c r="C162" s="11" t="str">
        <x:v>978-3-98978-011-8</x:v>
      </x:c>
      <x:c r="D162" s="11" t="str">
        <x:v>Forever / Ullstein</x:v>
      </x:c>
      <x:c r="E162" s="11" t="str">
        <x:v>Romance / New Adult</x:v>
      </x:c>
      <x:c r="F162" s="11" t="str">
        <x:v>2025-02-27</x:v>
      </x:c>
      <x:c r="G162" s="14" t="n">
        <x:v>16.99</x:v>
      </x:c>
      <x:c r="H162" s="11" t="str">
        <x:v>Paperback</x:v>
      </x:c>
      <x:c r="I162" s="11" t="str">
        <x:v>Yes</x:v>
      </x:c>
      <x:c r="J162" s="11" t="n">
        <x:v>1</x:v>
      </x:c>
      <x:c r="K162" s="11" t="str">
        <x:v>No</x:v>
      </x:c>
      <x:c r="L162" s="11" t="str">
        <x:v>https://www.ullstein.de/werke/the-first-to-fall/paperback/9783989780118</x:v>
      </x:c>
      <x:c r="M162" s="11" t="str">
        <x:v>Red Summer</x:v>
      </x:c>
      <x:c r="N162" s="11" t="str">
        <x:v>Full verified</x:v>
      </x:c>
      <x:c r="O162" s="11" t="str">
        <x:v>Relevant chart-era edition used; broad genre standardized for analysis.</x:v>
      </x:c>
    </x:row>
    <x:row r="163">
      <x:c r="A163" s="11" t="str">
        <x:v>Two Lives to Rise</x:v>
      </x:c>
      <x:c r="B163" s="11" t="str">
        <x:v>Kristina Moninger</x:v>
      </x:c>
      <x:c r="C163" s="11" t="str">
        <x:v>978-3-95818-717-7</x:v>
      </x:c>
      <x:c r="D163" s="11" t="str">
        <x:v>Forever / Ullstein</x:v>
      </x:c>
      <x:c r="E163" s="11" t="str">
        <x:v>Romance / New Adult</x:v>
      </x:c>
      <x:c r="F163" s="11" t="str">
        <x:v>2023-10-19</x:v>
      </x:c>
      <x:c r="G163" s="14" t="n">
        <x:v>14.99</x:v>
      </x:c>
      <x:c r="H163" s="11" t="str">
        <x:v>Paperback</x:v>
      </x:c>
      <x:c r="I163" s="11"/>
      <x:c r="J163" s="11"/>
      <x:c r="K163" s="11" t="str">
        <x:v>No</x:v>
      </x:c>
      <x:c r="L163" s="11" t="str">
        <x:v>https://www.ullstein.de/werke/two-lives-to-rise/paperback/9783958187177</x:v>
      </x:c>
      <x:c r="M163" s="11"/>
      <x:c r="N163" s="11" t="str">
        <x:v>Full verified</x:v>
      </x:c>
      <x:c r="O163" s="11" t="str">
        <x:v>Genre is a standardized analytical category for this project.</x:v>
      </x:c>
    </x:row>
    <x:row r="164">
      <x:c r="A164" s="11" t="str">
        <x:v>Zeilenflüstern (Sweet Lemon Agency)</x:v>
      </x:c>
      <x:c r="B164" s="11" t="str">
        <x:v>Kyra Groh</x:v>
      </x:c>
      <x:c r="C164" s="11" t="str">
        <x:v>978-3-7432-1544-3</x:v>
      </x:c>
      <x:c r="D164" s="11" t="str">
        <x:v>Loewe</x:v>
      </x:c>
      <x:c r="E164" s="11" t="str">
        <x:v>Romance / New Adult</x:v>
      </x:c>
      <x:c r="F164" s="11" t="str">
        <x:v>2024-03-13</x:v>
      </x:c>
      <x:c r="G164" s="14" t="n">
        <x:v>15.95</x:v>
      </x:c>
      <x:c r="H164" s="11" t="str">
        <x:v>Paperback</x:v>
      </x:c>
      <x:c r="I164" s="11" t="str">
        <x:v>Yes</x:v>
      </x:c>
      <x:c r="J164" s="11" t="n">
        <x:v>1</x:v>
      </x:c>
      <x:c r="K164" s="11" t="str">
        <x:v>No</x:v>
      </x:c>
      <x:c r="L164" s="11" t="str">
        <x:v>https://www.loewe-verlag.de/zeilenfluestern-sweet-lemon-agency-band-1/35373</x:v>
      </x:c>
      <x:c r="M164" s="11" t="str">
        <x:v>Sweet Lemon Agency</x:v>
      </x:c>
      <x:c r="N164" s="11" t="str">
        <x:v>Full verified</x:v>
      </x:c>
      <x:c r="O164" s="11" t="str">
        <x:v>Relevant German edition used; broad genre standardized for analysis.</x:v>
      </x:c>
    </x:row>
    <x:row r="165">
      <x:c r="A165" s="11" t="str">
        <x:v>Bad Bishop</x:v>
      </x:c>
      <x:c r="B165" s="11" t="str">
        <x:v>L. J. Shen</x:v>
      </x:c>
      <x:c r="C165" s="11" t="str">
        <x:v>978-3-7341-1596-7</x:v>
      </x:c>
      <x:c r="D165" s="11" t="str">
        <x:v>Blush Blanvalet</x:v>
      </x:c>
      <x:c r="E165" s="11" t="str">
        <x:v>Dark Romance</x:v>
      </x:c>
      <x:c r="F165" s="11" t="str">
        <x:v>2026-05-27</x:v>
      </x:c>
      <x:c r="G165" s="14" t="n">
        <x:v>18</x:v>
      </x:c>
      <x:c r="H165" s="11" t="str">
        <x:v>Paperback</x:v>
      </x:c>
      <x:c r="I165" s="11" t="str">
        <x:v>Yes</x:v>
      </x:c>
      <x:c r="J165" s="11" t="n">
        <x:v>1</x:v>
      </x:c>
      <x:c r="K165" s="11" t="str">
        <x:v>No</x:v>
      </x:c>
      <x:c r="L165" s="11" t="str">
        <x:v>https://www.jpc.de/jpcng/books/detail/-/art/l-j-shen-bad-bishop/hnum/12658693</x:v>
      </x:c>
      <x:c r="M165" s="11" t="str">
        <x:v>Society of Villains</x:v>
      </x:c>
      <x:c r="N165" s="11" t="str">
        <x:v>Full verified</x:v>
      </x:c>
      <x:c r="O165" s="11" t="str">
        <x:v>Relevant chart-era edition used; broad genre standardized for analysis.</x:v>
      </x:c>
    </x:row>
    <x:row r="166">
      <x:c r="A166" s="11" t="str">
        <x:v>My Dark Romeo</x:v>
      </x:c>
      <x:c r="B166" s="11" t="str">
        <x:v>L. J. Shen &amp; Parker S. Huntington</x:v>
      </x:c>
      <x:c r="C166" s="11" t="str">
        <x:v>978-3-426-28437-7</x:v>
      </x:c>
      <x:c r="D166" s="11" t="str">
        <x:v>Knaur TB</x:v>
      </x:c>
      <x:c r="E166" s="11" t="str">
        <x:v>Dark Romance</x:v>
      </x:c>
      <x:c r="F166" s="11" t="str">
        <x:v>2024-11-04</x:v>
      </x:c>
      <x:c r="G166" s="14" t="n">
        <x:v>16.99</x:v>
      </x:c>
      <x:c r="H166" s="11" t="str">
        <x:v>Paperback</x:v>
      </x:c>
      <x:c r="I166" s="11" t="str">
        <x:v>Yes</x:v>
      </x:c>
      <x:c r="J166" s="11" t="n">
        <x:v>1</x:v>
      </x:c>
      <x:c r="K166" s="11" t="str">
        <x:v>No</x:v>
      </x:c>
      <x:c r="L166" s="11" t="str">
        <x:v>https://www.droemer-knaur.de/buch/l-j-shen-parker-s-huntington-my-dark-romeo-9783426284377</x:v>
      </x:c>
      <x:c r="M166" s="11" t="str">
        <x:v>Dark Prince Road</x:v>
      </x:c>
      <x:c r="N166" s="11" t="str">
        <x:v>Full verified</x:v>
      </x:c>
      <x:c r="O166" s="11" t="str">
        <x:v>Added because November 2024 is partial but the title is confirmed.</x:v>
      </x:c>
    </x:row>
    <x:row r="167">
      <x:c r="A167" s="11" t="str">
        <x:v>The Darlington - Ethan &amp; Grace</x:v>
      </x:c>
      <x:c r="B167" s="11" t="str">
        <x:v>Laura Kneidl</x:v>
      </x:c>
      <x:c r="C167" s="11" t="str">
        <x:v>978-3-7363-2491-6</x:v>
      </x:c>
      <x:c r="D167" s="11" t="str">
        <x:v>LYX</x:v>
      </x:c>
      <x:c r="E167" s="11" t="str">
        <x:v>Romance / New Adult</x:v>
      </x:c>
      <x:c r="F167" s="11" t="str">
        <x:v>2025-10-15</x:v>
      </x:c>
      <x:c r="G167" s="14" t="n">
        <x:v>24</x:v>
      </x:c>
      <x:c r="H167" s="11" t="str">
        <x:v>Hardcover</x:v>
      </x:c>
      <x:c r="I167" s="11" t="str">
        <x:v>Yes</x:v>
      </x:c>
      <x:c r="J167" s="11" t="n">
        <x:v>2</x:v>
      </x:c>
      <x:c r="K167" s="11" t="str">
        <x:v>No</x:v>
      </x:c>
      <x:c r="L167" s="11" t="str">
        <x:v>https://www.lehmanns.de/shop/literatur/73335281-9783736324916-the-darlington-ethan-amp-grace</x:v>
      </x:c>
      <x:c r="M167" s="11" t="str">
        <x:v>The Darlington</x:v>
      </x:c>
      <x:c r="N167" s="11" t="str">
        <x:v>Full verified</x:v>
      </x:c>
      <x:c r="O167" s="11" t="str">
        <x:v>Relevant chart-era edition used; broad genre standardized for analysis.</x:v>
      </x:c>
    </x:row>
    <x:row r="168">
      <x:c r="A168" s="11" t="str">
        <x:v>The Darlington - Henry &amp; Kate</x:v>
      </x:c>
      <x:c r="B168" s="11" t="str">
        <x:v>Laura Kneidl</x:v>
      </x:c>
      <x:c r="C168" s="11" t="str">
        <x:v>978-3-7363-2355-1</x:v>
      </x:c>
      <x:c r="D168" s="11" t="str">
        <x:v>LYX</x:v>
      </x:c>
      <x:c r="E168" s="11" t="str">
        <x:v>Romance / New Adult</x:v>
      </x:c>
      <x:c r="F168" s="11" t="str">
        <x:v>2025</x:v>
      </x:c>
      <x:c r="G168" s="14"/>
      <x:c r="H168" s="11" t="str">
        <x:v>Hardcover</x:v>
      </x:c>
      <x:c r="I168" s="11" t="str">
        <x:v>Yes</x:v>
      </x:c>
      <x:c r="J168" s="11" t="n">
        <x:v>1</x:v>
      </x:c>
      <x:c r="K168" s="11" t="str">
        <x:v>No</x:v>
      </x:c>
      <x:c r="L168" s="11" t="str">
        <x:v>https://lyx-verlag.de/Buecher/Romance/The-Darlington-Henry-Kate/9783736323551</x:v>
      </x:c>
      <x:c r="M168" s="11" t="str">
        <x:v>The Darlington</x:v>
      </x:c>
      <x:c r="N168" s="11" t="str">
        <x:v>Core verified</x:v>
      </x:c>
      <x:c r="O168" s="11" t="str">
        <x:v>Relevant chart-era edition used; broad genre standardized for analysis.</x:v>
      </x:c>
    </x:row>
    <x:row r="169">
      <x:c r="A169" s="11" t="str">
        <x:v>The Darlington - Logan &amp; Rose</x:v>
      </x:c>
      <x:c r="B169" s="11" t="str">
        <x:v>Laura Kneidl</x:v>
      </x:c>
      <x:c r="C169" s="11" t="str">
        <x:v>978-3-7363-2490-9</x:v>
      </x:c>
      <x:c r="D169" s="11" t="str">
        <x:v>LYX</x:v>
      </x:c>
      <x:c r="E169" s="11" t="str">
        <x:v>Romance / New Adult</x:v>
      </x:c>
      <x:c r="F169" s="11" t="str">
        <x:v>2026</x:v>
      </x:c>
      <x:c r="G169" s="14"/>
      <x:c r="H169" s="11" t="str">
        <x:v>Hardcover</x:v>
      </x:c>
      <x:c r="I169" s="11" t="str">
        <x:v>Yes</x:v>
      </x:c>
      <x:c r="J169" s="11" t="n">
        <x:v>3</x:v>
      </x:c>
      <x:c r="K169" s="11" t="str">
        <x:v>No</x:v>
      </x:c>
      <x:c r="L169" s="11" t="str">
        <x:v>https://books.google.com/books/about/The_Darlington_Logan_Rose.html?id=zIgoEQAAQBAJ</x:v>
      </x:c>
      <x:c r="M169" s="11" t="str">
        <x:v>The Darlington</x:v>
      </x:c>
      <x:c r="N169" s="11" t="str">
        <x:v>Core verified</x:v>
      </x:c>
      <x:c r="O169" s="11" t="str">
        <x:v>German ISBN, publisher and series verified; exact 2026 publication day was not retained.</x:v>
      </x:c>
    </x:row>
    <x:row r="170">
      <x:c r="A170" s="11" t="str">
        <x:v>Vergiss uns. Nicht.</x:v>
      </x:c>
      <x:c r="B170" s="11" t="str">
        <x:v>Laura Kneidl</x:v>
      </x:c>
      <x:c r="C170" s="11" t="str">
        <x:v>978-3-7363-1888-5</x:v>
      </x:c>
      <x:c r="D170" s="11" t="str">
        <x:v>LYX</x:v>
      </x:c>
      <x:c r="E170" s="11" t="str">
        <x:v>Romance / New Adult</x:v>
      </x:c>
      <x:c r="F170" s="11" t="str">
        <x:v>2023-03-22</x:v>
      </x:c>
      <x:c r="G170" s="14"/>
      <x:c r="H170" s="11" t="str">
        <x:v>Taschenbuch</x:v>
      </x:c>
      <x:c r="I170" s="11" t="str">
        <x:v>Yes</x:v>
      </x:c>
      <x:c r="J170" s="11" t="n">
        <x:v>3</x:v>
      </x:c>
      <x:c r="K170" s="11" t="str">
        <x:v>No</x:v>
      </x:c>
      <x:c r="L170" s="11" t="str">
        <x:v>https://www.thalia.de/shop/home/artikeldetails/A1063535557</x:v>
      </x:c>
      <x:c r="M170" s="11" t="str">
        <x:v>Berühre mich. nicht.</x:v>
      </x:c>
      <x:c r="N170" s="11" t="str">
        <x:v>Full verified</x:v>
      </x:c>
      <x:c r="O170" s="11" t="str">
        <x:v>Genre is a standardized analytical category for this project.</x:v>
      </x:c>
    </x:row>
    <x:row r="171">
      <x:c r="A171" s="11" t="str">
        <x:v>Zerbrich uns. Nicht.</x:v>
      </x:c>
      <x:c r="B171" s="11" t="str">
        <x:v>Laura Kneidl</x:v>
      </x:c>
      <x:c r="C171" s="11" t="str">
        <x:v>978-3-7363-1933-2</x:v>
      </x:c>
      <x:c r="D171" s="11" t="str">
        <x:v>LYX</x:v>
      </x:c>
      <x:c r="E171" s="11" t="str">
        <x:v>Romance / New Adult</x:v>
      </x:c>
      <x:c r="F171" s="11" t="str">
        <x:v>2023-06-28</x:v>
      </x:c>
      <x:c r="G171" s="14" t="n">
        <x:v>14</x:v>
      </x:c>
      <x:c r="H171" s="11" t="str">
        <x:v>Taschenbuch</x:v>
      </x:c>
      <x:c r="I171" s="11" t="str">
        <x:v>Yes</x:v>
      </x:c>
      <x:c r="J171" s="11" t="n">
        <x:v>4</x:v>
      </x:c>
      <x:c r="K171" s="11"/>
      <x:c r="L171" s="11" t="str">
        <x:v>https://www.thalia.de/shop/home/artikeldetails/A1063535466</x:v>
      </x:c>
      <x:c r="M171" s="11" t="str">
        <x:v>Berühre mich. nicht.</x:v>
      </x:c>
      <x:c r="N171" s="11" t="str">
        <x:v>Full verified</x:v>
      </x:c>
      <x:c r="O171" s="11" t="str">
        <x:v>Genre is a standardized analytical category for this project.</x:v>
      </x:c>
    </x:row>
    <x:row r="172">
      <x:c r="A172" s="11" t="str">
        <x:v>If he had been with me</x:v>
      </x:c>
      <x:c r="B172" s="11" t="str">
        <x:v>Laura Nowlin</x:v>
      </x:c>
      <x:c r="C172" s="11" t="str">
        <x:v>978-3-328-11098-9</x:v>
      </x:c>
      <x:c r="D172" s="11" t="str">
        <x:v>Penguin</x:v>
      </x:c>
      <x:c r="E172" s="11" t="str">
        <x:v>YA Romance</x:v>
      </x:c>
      <x:c r="F172" s="11" t="str">
        <x:v>2023</x:v>
      </x:c>
      <x:c r="G172" s="14"/>
      <x:c r="H172" s="11" t="str">
        <x:v>Paperback</x:v>
      </x:c>
      <x:c r="I172" s="11" t="str">
        <x:v>Yes</x:v>
      </x:c>
      <x:c r="J172" s="11" t="n">
        <x:v>1</x:v>
      </x:c>
      <x:c r="K172" s="11" t="str">
        <x:v>No</x:v>
      </x:c>
      <x:c r="L172" s="11" t="str">
        <x:v>https://opac.stabi-hb.de/webOPACClient/start.do?Language=de&amp;Login=opacex10&amp;Query=0+%3D+%22952961756%22&amp;searchType=2&amp;sourceid=ConQuery</x:v>
      </x:c>
      <x:c r="M172" s="11" t="str">
        <x:v>Friends-to-Lovers</x:v>
      </x:c>
      <x:c r="N172" s="11" t="str">
        <x:v>Full verified</x:v>
      </x:c>
      <x:c r="O172" s="11" t="str">
        <x:v>Genre is a standardized analytical category for this project.</x:v>
      </x:c>
    </x:row>
    <x:row r="173">
      <x:c r="A173" s="11" t="str">
        <x:v>If only I had told her</x:v>
      </x:c>
      <x:c r="B173" s="11" t="str">
        <x:v>Laura Nowlin</x:v>
      </x:c>
      <x:c r="C173" s="11" t="str">
        <x:v>978-3-328-11110-8</x:v>
      </x:c>
      <x:c r="D173" s="11" t="str">
        <x:v>Penguin</x:v>
      </x:c>
      <x:c r="E173" s="11" t="str">
        <x:v>YA Romance</x:v>
      </x:c>
      <x:c r="F173" s="11" t="str">
        <x:v>2024-02-14</x:v>
      </x:c>
      <x:c r="G173" s="14" t="n">
        <x:v>16</x:v>
      </x:c>
      <x:c r="H173" s="11" t="str">
        <x:v>Paperback</x:v>
      </x:c>
      <x:c r="I173" s="11" t="str">
        <x:v>Yes</x:v>
      </x:c>
      <x:c r="J173" s="11" t="n">
        <x:v>2</x:v>
      </x:c>
      <x:c r="K173" s="11" t="str">
        <x:v>No</x:v>
      </x:c>
      <x:c r="L173" s="11" t="str">
        <x:v>https://www.thalia.de/shop/home/artikeldetails/A1068296804</x:v>
      </x:c>
      <x:c r="M173" s="11" t="str">
        <x:v>If He Had Been With Me</x:v>
      </x:c>
      <x:c r="N173" s="11" t="str">
        <x:v>Full verified</x:v>
      </x:c>
      <x:c r="O173" s="11" t="str">
        <x:v>Relevant German edition used; broad genre standardized for analysis.</x:v>
      </x:c>
    </x:row>
    <x:row r="174">
      <x:c r="A174" s="11" t="str">
        <x:v>Dreamland Billionaires - Terms and Conditions</x:v>
      </x:c>
      <x:c r="B174" s="11" t="str">
        <x:v>Lauren Asher</x:v>
      </x:c>
      <x:c r="C174" s="11" t="str">
        <x:v>978-3-641-30063-0</x:v>
      </x:c>
      <x:c r="D174" s="11" t="str">
        <x:v>Heyne</x:v>
      </x:c>
      <x:c r="E174" s="11" t="str">
        <x:v>Romance / New Adult</x:v>
      </x:c>
      <x:c r="F174" s="11" t="str">
        <x:v>2023-09</x:v>
      </x:c>
      <x:c r="G174" s="14"/>
      <x:c r="H174" s="11" t="str">
        <x:v>eBook</x:v>
      </x:c>
      <x:c r="I174" s="11" t="str">
        <x:v>Yes</x:v>
      </x:c>
      <x:c r="J174" s="11" t="n">
        <x:v>2</x:v>
      </x:c>
      <x:c r="K174" s="11" t="str">
        <x:v>No</x:v>
      </x:c>
      <x:c r="L174" s="11" t="str">
        <x:v>https://www.legimi.de/e-book-dreamland-billionaires-terms-and-conditions-lauren-asher%2Cb3847756.html</x:v>
      </x:c>
      <x:c r="M174" s="11" t="str">
        <x:v>Dreamland Billionaires</x:v>
      </x:c>
      <x:c r="N174" s="11" t="str">
        <x:v>Full verified</x:v>
      </x:c>
      <x:c r="O174" s="11" t="str">
        <x:v>Genre is a standardized analytical category for this project.</x:v>
      </x:c>
    </x:row>
    <x:row r="175">
      <x:c r="A175" s="11" t="str">
        <x:v>Dreamland Billionaires - The Fine Print</x:v>
      </x:c>
      <x:c r="B175" s="11" t="str">
        <x:v>Lauren Asher</x:v>
      </x:c>
      <x:c r="C175" s="11" t="str">
        <x:v>978-3-453-42739-6</x:v>
      </x:c>
      <x:c r="D175" s="11" t="str">
        <x:v>Heyne</x:v>
      </x:c>
      <x:c r="E175" s="11" t="str">
        <x:v>Romance / New Adult</x:v>
      </x:c>
      <x:c r="F175" s="11" t="str">
        <x:v>2023-06-14</x:v>
      </x:c>
      <x:c r="G175" s="14" t="n">
        <x:v>17</x:v>
      </x:c>
      <x:c r="H175" s="11" t="str">
        <x:v>Taschenbuch</x:v>
      </x:c>
      <x:c r="I175" s="11" t="str">
        <x:v>Yes</x:v>
      </x:c>
      <x:c r="J175" s="11" t="n">
        <x:v>1</x:v>
      </x:c>
      <x:c r="K175" s="11" t="str">
        <x:v>No</x:v>
      </x:c>
      <x:c r="L175" s="11" t="str">
        <x:v>https://www.thalia.de/shop/home/artikeldetails/A1066698415</x:v>
      </x:c>
      <x:c r="M175" s="11" t="str">
        <x:v>Dreamland Billionaires</x:v>
      </x:c>
      <x:c r="N175" s="11" t="str">
        <x:v>Full verified</x:v>
      </x:c>
      <x:c r="O175" s="11" t="str">
        <x:v>Genre is a standardized analytical category for this project.</x:v>
      </x:c>
    </x:row>
    <x:row r="176">
      <x:c r="A176" s="11" t="str">
        <x:v>Powerless - Das Spiel</x:v>
      </x:c>
      <x:c r="B176" s="11" t="str">
        <x:v>Lauren Roberts</x:v>
      </x:c>
      <x:c r="C176" s="11" t="str">
        <x:v>978-3-7645-3318-2</x:v>
      </x:c>
      <x:c r="D176" s="11" t="str">
        <x:v>Penhaligon</x:v>
      </x:c>
      <x:c r="E176" s="11" t="str">
        <x:v>Fantasy / Romantasy</x:v>
      </x:c>
      <x:c r="F176" s="11" t="str">
        <x:v>2024-08-14</x:v>
      </x:c>
      <x:c r="G176" s="14"/>
      <x:c r="H176" s="11" t="str">
        <x:v>Paperback</x:v>
      </x:c>
      <x:c r="I176" s="11" t="str">
        <x:v>Yes</x:v>
      </x:c>
      <x:c r="J176" s="11" t="n">
        <x:v>1</x:v>
      </x:c>
      <x:c r="K176" s="11" t="str">
        <x:v>No</x:v>
      </x:c>
      <x:c r="L176" s="11" t="str">
        <x:v>https://www.thalia.de/shop/home/artikeldetails/A1071050352</x:v>
      </x:c>
      <x:c r="M176" s="11" t="str">
        <x:v>Powerless</x:v>
      </x:c>
      <x:c r="N176" s="11" t="str">
        <x:v>Full verified</x:v>
      </x:c>
      <x:c r="O176" s="11" t="str">
        <x:v>Relevant German edition used; broad genre standardized for analysis.</x:v>
      </x:c>
    </x:row>
    <x:row r="177">
      <x:c r="A177" s="11" t="str">
        <x:v>Powerless – Der Thron</x:v>
      </x:c>
      <x:c r="B177" s="11" t="str">
        <x:v>Lauren Roberts</x:v>
      </x:c>
      <x:c r="C177" s="11" t="str">
        <x:v>978-3-7645-3328-1</x:v>
      </x:c>
      <x:c r="D177" s="11" t="str">
        <x:v>Penhaligon</x:v>
      </x:c>
      <x:c r="E177" s="11" t="str">
        <x:v>Fantasy / Romantasy</x:v>
      </x:c>
      <x:c r="F177" s="11" t="str">
        <x:v>2025-08-27</x:v>
      </x:c>
      <x:c r="G177" s="14" t="n">
        <x:v>18</x:v>
      </x:c>
      <x:c r="H177" s="11" t="str">
        <x:v>Paperback</x:v>
      </x:c>
      <x:c r="I177" s="11" t="str">
        <x:v>Yes</x:v>
      </x:c>
      <x:c r="J177" s="11" t="n">
        <x:v>3</x:v>
      </x:c>
      <x:c r="K177" s="11" t="str">
        <x:v>No</x:v>
      </x:c>
      <x:c r="L177" s="11" t="str">
        <x:v>https://www.buchkatalog.de/9783764533281</x:v>
      </x:c>
      <x:c r="M177" s="11" t="str">
        <x:v>Powerless</x:v>
      </x:c>
      <x:c r="N177" s="11" t="str">
        <x:v>Full verified</x:v>
      </x:c>
      <x:c r="O177" s="11" t="str">
        <x:v>Relevant chart-era edition used; broad genre standardized for analysis.</x:v>
      </x:c>
    </x:row>
    <x:row r="178">
      <x:c r="A178" s="11" t="str">
        <x:v>Reckless</x:v>
      </x:c>
      <x:c r="B178" s="11" t="str">
        <x:v>Lauren Roberts</x:v>
      </x:c>
      <x:c r="C178" s="11" t="str">
        <x:v>978-3-7645-3324-3</x:v>
      </x:c>
      <x:c r="D178" s="11" t="str">
        <x:v>Penhaligon</x:v>
      </x:c>
      <x:c r="E178" s="11" t="str">
        <x:v>Fantasy / Romantasy</x:v>
      </x:c>
      <x:c r="F178" s="11" t="str">
        <x:v>2024-10-16</x:v>
      </x:c>
      <x:c r="G178" s="14"/>
      <x:c r="H178" s="11" t="str">
        <x:v>Paperback</x:v>
      </x:c>
      <x:c r="I178" s="11" t="str">
        <x:v>Yes</x:v>
      </x:c>
      <x:c r="J178" s="11" t="n">
        <x:v>2</x:v>
      </x:c>
      <x:c r="K178" s="11" t="str">
        <x:v>No</x:v>
      </x:c>
      <x:c r="L178" s="11" t="str">
        <x:v>https://www.thalia.de/shop/home/artikeldetails/A1071050353</x:v>
      </x:c>
      <x:c r="M178" s="11" t="str">
        <x:v>Powerless</x:v>
      </x:c>
      <x:c r="N178" s="11" t="str">
        <x:v>Full verified</x:v>
      </x:c>
      <x:c r="O178" s="11" t="str">
        <x:v>Relevant German edition used; broad genre standardized for analysis.</x:v>
      </x:c>
    </x:row>
    <x:row r="179">
      <x:c r="A179" s="11" t="str">
        <x:v>Meet me in Autumn. Eine Pumpkin spiced Romance</x:v>
      </x:c>
      <x:c r="B179" s="11" t="str">
        <x:v>Laurie Gilmore</x:v>
      </x:c>
      <x:c r="C179" s="11" t="str">
        <x:v>978-3-365-00822-5</x:v>
      </x:c>
      <x:c r="D179" s="11" t="str">
        <x:v>HarperCollins</x:v>
      </x:c>
      <x:c r="E179" s="11" t="str">
        <x:v>Romance / Contemporary</x:v>
      </x:c>
      <x:c r="F179" s="11" t="str">
        <x:v>2024-08-20</x:v>
      </x:c>
      <x:c r="G179" s="14" t="n">
        <x:v>14</x:v>
      </x:c>
      <x:c r="H179" s="11" t="str">
        <x:v>Taschenbuch</x:v>
      </x:c>
      <x:c r="I179" s="11" t="str">
        <x:v>Yes</x:v>
      </x:c>
      <x:c r="J179" s="11" t="n">
        <x:v>1</x:v>
      </x:c>
      <x:c r="K179" s="11" t="str">
        <x:v>No</x:v>
      </x:c>
      <x:c r="L179" s="11" t="str">
        <x:v>https://www.harpercollins.de/products/meet-me-in-autumn-eine-pumpkin-spiced-romance</x:v>
      </x:c>
      <x:c r="M179" s="11" t="str">
        <x:v>Dream Harbor</x:v>
      </x:c>
      <x:c r="N179" s="11" t="str">
        <x:v>Full verified</x:v>
      </x:c>
      <x:c r="O179" s="11" t="str">
        <x:v>Relevant chart-era edition used; broad genre standardized for analysis.</x:v>
      </x:c>
    </x:row>
    <x:row r="180">
      <x:c r="A180" s="11" t="str">
        <x:v>Little Liar</x:v>
      </x:c>
      <x:c r="B180" s="11" t="str">
        <x:v>Leigh Rivers</x:v>
      </x:c>
      <x:c r="C180" s="11"/>
      <x:c r="D180" s="11" t="str">
        <x:v>VAJONA</x:v>
      </x:c>
      <x:c r="E180" s="11" t="str">
        <x:v>Dark Romance</x:v>
      </x:c>
      <x:c r="F180" s="11" t="str">
        <x:v>2025-12-17</x:v>
      </x:c>
      <x:c r="G180" s="14"/>
      <x:c r="H180" s="11" t="str">
        <x:v>Paperback</x:v>
      </x:c>
      <x:c r="I180" s="11" t="str">
        <x:v>No</x:v>
      </x:c>
      <x:c r="J180" s="11"/>
      <x:c r="K180" s="11" t="str">
        <x:v>No</x:v>
      </x:c>
      <x:c r="L180" s="11" t="str">
        <x:v>https://vajona.de/products/little-liar</x:v>
      </x:c>
      <x:c r="M180" s="11"/>
      <x:c r="N180" s="11" t="str">
        <x:v>Core verified</x:v>
      </x:c>
      <x:c r="O180" s="11" t="str">
        <x:v>Publisher/date/genre verified; ISBN was not retained in the source notes.</x:v>
      </x:c>
    </x:row>
    <x:row r="181">
      <x:c r="A181" s="11" t="str">
        <x:v>Little Stranger</x:v>
      </x:c>
      <x:c r="B181" s="11" t="str">
        <x:v>Leigh Rivers</x:v>
      </x:c>
      <x:c r="C181" s="11"/>
      <x:c r="D181" s="11" t="str">
        <x:v>VAJONA</x:v>
      </x:c>
      <x:c r="E181" s="11" t="str">
        <x:v>Dark Romance</x:v>
      </x:c>
      <x:c r="F181" s="11" t="str">
        <x:v>2025-09-17</x:v>
      </x:c>
      <x:c r="G181" s="14" t="n">
        <x:v>19</x:v>
      </x:c>
      <x:c r="H181" s="11" t="str">
        <x:v>Paperback</x:v>
      </x:c>
      <x:c r="I181" s="11" t="str">
        <x:v>No</x:v>
      </x:c>
      <x:c r="J181" s="11"/>
      <x:c r="K181" s="11" t="str">
        <x:v>No</x:v>
      </x:c>
      <x:c r="L181" s="11" t="str">
        <x:v>https://vajona.de/collections/dark-romance/products/a-betrayal-of-storms-realm-of-fae-band-1-copy-1</x:v>
      </x:c>
      <x:c r="M181" s="11"/>
      <x:c r="N181" s="11" t="str">
        <x:v>Core verified</x:v>
      </x:c>
      <x:c r="O181" s="11" t="str">
        <x:v>Publisher/date/format verified; ISBN not retained from the project source notes.</x:v>
      </x:c>
    </x:row>
    <x:row r="182">
      <x:c r="A182" s="11" t="str">
        <x:v>Coldhart - Deep &amp; Shallow</x:v>
      </x:c>
      <x:c r="B182" s="11" t="str">
        <x:v>Lena Kiefer</x:v>
      </x:c>
      <x:c r="C182" s="11" t="str">
        <x:v>978-3-7363-2115-1</x:v>
      </x:c>
      <x:c r="D182" s="11" t="str">
        <x:v>LYX</x:v>
      </x:c>
      <x:c r="E182" s="11" t="str">
        <x:v>Romance / New Adult</x:v>
      </x:c>
      <x:c r="F182" s="11" t="str">
        <x:v>2024-05-28</x:v>
      </x:c>
      <x:c r="G182" s="14" t="n">
        <x:v>16</x:v>
      </x:c>
      <x:c r="H182" s="11" t="str">
        <x:v>Paperback</x:v>
      </x:c>
      <x:c r="I182" s="11" t="str">
        <x:v>Yes</x:v>
      </x:c>
      <x:c r="J182" s="11" t="n">
        <x:v>2</x:v>
      </x:c>
      <x:c r="K182" s="11" t="str">
        <x:v>No</x:v>
      </x:c>
      <x:c r="L182" s="11" t="str">
        <x:v>https://www.thalia.de/shop/home/artikeldetails/A1068034705</x:v>
      </x:c>
      <x:c r="M182" s="11" t="str">
        <x:v>Coldhart</x:v>
      </x:c>
      <x:c r="N182" s="11" t="str">
        <x:v>Full verified</x:v>
      </x:c>
      <x:c r="O182" s="11" t="str">
        <x:v>Relevant German edition used; broad genre standardized for analysis.</x:v>
      </x:c>
    </x:row>
    <x:row r="183">
      <x:c r="A183" s="11" t="str">
        <x:v>Coldhart - Strong &amp; Weak</x:v>
      </x:c>
      <x:c r="B183" s="11" t="str">
        <x:v>Lena Kiefer</x:v>
      </x:c>
      <x:c r="C183" s="11" t="str">
        <x:v>978-3-7363-2073-4</x:v>
      </x:c>
      <x:c r="D183" s="11" t="str">
        <x:v>LYX</x:v>
      </x:c>
      <x:c r="E183" s="11" t="str">
        <x:v>Romance / New Adult</x:v>
      </x:c>
      <x:c r="F183" s="11" t="str">
        <x:v>2024-01-23</x:v>
      </x:c>
      <x:c r="G183" s="14" t="n">
        <x:v>14.9</x:v>
      </x:c>
      <x:c r="H183" s="11" t="str">
        <x:v>Paperback</x:v>
      </x:c>
      <x:c r="I183" s="11" t="str">
        <x:v>Yes</x:v>
      </x:c>
      <x:c r="J183" s="11" t="n">
        <x:v>1</x:v>
      </x:c>
      <x:c r="K183" s="11" t="str">
        <x:v>No</x:v>
      </x:c>
      <x:c r="L183" s="11" t="str">
        <x:v>https://www.thalia.de/shop/home/artikeldetails/A1068034704</x:v>
      </x:c>
      <x:c r="M183" s="11" t="str">
        <x:v>Coldhart</x:v>
      </x:c>
      <x:c r="N183" s="11" t="str">
        <x:v>Full verified</x:v>
      </x:c>
      <x:c r="O183" s="11" t="str">
        <x:v>Relevant German edition used; broad genre standardized for analysis.</x:v>
      </x:c>
    </x:row>
    <x:row r="184">
      <x:c r="A184" s="11" t="str">
        <x:v>Royal Fake</x:v>
      </x:c>
      <x:c r="B184" s="11" t="str">
        <x:v>Lena Kiefer</x:v>
      </x:c>
      <x:c r="C184" s="11" t="str">
        <x:v>978-3-7363-2600-2</x:v>
      </x:c>
      <x:c r="D184" s="11" t="str">
        <x:v>LYX</x:v>
      </x:c>
      <x:c r="E184" s="11" t="str">
        <x:v>Romance / New Adult</x:v>
      </x:c>
      <x:c r="F184" s="11" t="str">
        <x:v>2026-04-13</x:v>
      </x:c>
      <x:c r="G184" s="14" t="n">
        <x:v>16.9</x:v>
      </x:c>
      <x:c r="H184" s="11" t="str">
        <x:v>Paperback</x:v>
      </x:c>
      <x:c r="I184" s="11" t="str">
        <x:v>Yes</x:v>
      </x:c>
      <x:c r="J184" s="11" t="n">
        <x:v>2</x:v>
      </x:c>
      <x:c r="K184" s="11" t="str">
        <x:v>No</x:v>
      </x:c>
      <x:c r="L184" s="11" t="str">
        <x:v>https://lyx-verlag.de/Romance/Royal-Fake/9783736326002</x:v>
      </x:c>
      <x:c r="M184" s="11" t="str">
        <x:v>Royal Heist</x:v>
      </x:c>
      <x:c r="N184" s="11" t="str">
        <x:v>Full verified</x:v>
      </x:c>
      <x:c r="O184" s="11" t="str">
        <x:v>Relevant chart-era edition used; broad genre standardized for analysis.</x:v>
      </x:c>
    </x:row>
    <x:row r="185">
      <x:c r="A185" s="11" t="str">
        <x:v>Royal Heist</x:v>
      </x:c>
      <x:c r="B185" s="11" t="str">
        <x:v>Lena Kiefer</x:v>
      </x:c>
      <x:c r="C185" s="11" t="str">
        <x:v>978-3-7363-2549-4</x:v>
      </x:c>
      <x:c r="D185" s="11" t="str">
        <x:v>LYX</x:v>
      </x:c>
      <x:c r="E185" s="11" t="str">
        <x:v>Romance / New Adult</x:v>
      </x:c>
      <x:c r="F185" s="11" t="str">
        <x:v>2025-11</x:v>
      </x:c>
      <x:c r="G185" s="14" t="n">
        <x:v>16.9</x:v>
      </x:c>
      <x:c r="H185" s="11" t="str">
        <x:v>Paperback</x:v>
      </x:c>
      <x:c r="I185" s="11" t="str">
        <x:v>Yes</x:v>
      </x:c>
      <x:c r="J185" s="11" t="n">
        <x:v>1</x:v>
      </x:c>
      <x:c r="K185" s="11" t="str">
        <x:v>No</x:v>
      </x:c>
      <x:c r="L185" s="11" t="str">
        <x:v>https://lyx-verlag.de/Buecher/Romance/Royal-Heist/9783736325494</x:v>
      </x:c>
      <x:c r="M185" s="11" t="str">
        <x:v>Royal Heist</x:v>
      </x:c>
      <x:c r="N185" s="11" t="str">
        <x:v>Core verified</x:v>
      </x:c>
      <x:c r="O185" s="11" t="str">
        <x:v>German paperback and series verified; month-level date retained.</x:v>
      </x:c>
    </x:row>
    <x:row r="186">
      <x:c r="A186" s="11" t="str">
        <x:v>Westwell - Bright &amp; Dark</x:v>
      </x:c>
      <x:c r="B186" s="11" t="str">
        <x:v>Lena Kiefer</x:v>
      </x:c>
      <x:c r="C186" s="11" t="str">
        <x:v>978-3-7363-1805-2</x:v>
      </x:c>
      <x:c r="D186" s="11" t="str">
        <x:v>LYX</x:v>
      </x:c>
      <x:c r="E186" s="11" t="str">
        <x:v>Romance / New Adult</x:v>
      </x:c>
      <x:c r="F186" s="11" t="str">
        <x:v>2022</x:v>
      </x:c>
      <x:c r="G186" s="14"/>
      <x:c r="H186" s="11" t="str">
        <x:v>Paperback</x:v>
      </x:c>
      <x:c r="I186" s="11" t="str">
        <x:v>Yes</x:v>
      </x:c>
      <x:c r="J186" s="11" t="n">
        <x:v>2</x:v>
      </x:c>
      <x:c r="K186" s="11" t="str">
        <x:v>No</x:v>
      </x:c>
      <x:c r="L186" s="11" t="str">
        <x:v>https://de.wikipedia.org/wiki/Lena_Kiefer</x:v>
      </x:c>
      <x:c r="M186" s="11" t="str">
        <x:v>Westwell</x:v>
      </x:c>
      <x:c r="N186" s="11" t="str">
        <x:v>Full verified</x:v>
      </x:c>
      <x:c r="O186" s="11" t="str">
        <x:v>Genre is a standardized analytical category for this project.</x:v>
      </x:c>
    </x:row>
    <x:row r="187">
      <x:c r="A187" s="11" t="str">
        <x:v>Westwell - Heavy &amp; Light</x:v>
      </x:c>
      <x:c r="B187" s="11" t="str">
        <x:v>Lena Kiefer</x:v>
      </x:c>
      <x:c r="C187" s="11" t="str">
        <x:v>978-3-7363-1762-8</x:v>
      </x:c>
      <x:c r="D187" s="11" t="str">
        <x:v>LYX</x:v>
      </x:c>
      <x:c r="E187" s="11" t="str">
        <x:v>Romance / New Adult</x:v>
      </x:c>
      <x:c r="F187" s="11" t="str">
        <x:v>2022</x:v>
      </x:c>
      <x:c r="G187" s="14"/>
      <x:c r="H187" s="11" t="str">
        <x:v>Paperback</x:v>
      </x:c>
      <x:c r="I187" s="11" t="str">
        <x:v>Yes</x:v>
      </x:c>
      <x:c r="J187" s="11" t="n">
        <x:v>1</x:v>
      </x:c>
      <x:c r="K187" s="11" t="str">
        <x:v>No</x:v>
      </x:c>
      <x:c r="L187" s="11" t="str">
        <x:v>https://de.wikipedia.org/wiki/Lena_Kiefer</x:v>
      </x:c>
      <x:c r="M187" s="11" t="str">
        <x:v>Westwell</x:v>
      </x:c>
      <x:c r="N187" s="11" t="str">
        <x:v>Full verified</x:v>
      </x:c>
      <x:c r="O187" s="11" t="str">
        <x:v>Genre is a standardized analytical category for this project.</x:v>
      </x:c>
    </x:row>
    <x:row r="188">
      <x:c r="A188" s="11" t="str">
        <x:v>Westwell - Hot &amp; Cold</x:v>
      </x:c>
      <x:c r="B188" s="11" t="str">
        <x:v>Lena Kiefer</x:v>
      </x:c>
      <x:c r="C188" s="11" t="str">
        <x:v>978-3-7363-1813-7</x:v>
      </x:c>
      <x:c r="D188" s="11" t="str">
        <x:v>LYX</x:v>
      </x:c>
      <x:c r="E188" s="11" t="str">
        <x:v>Romance / New Adult</x:v>
      </x:c>
      <x:c r="F188" s="11" t="str">
        <x:v>2023</x:v>
      </x:c>
      <x:c r="G188" s="14"/>
      <x:c r="H188" s="11" t="str">
        <x:v>Paperback</x:v>
      </x:c>
      <x:c r="I188" s="11" t="str">
        <x:v>Yes</x:v>
      </x:c>
      <x:c r="J188" s="11" t="n">
        <x:v>3</x:v>
      </x:c>
      <x:c r="K188" s="11" t="str">
        <x:v>No</x:v>
      </x:c>
      <x:c r="L188" s="11" t="str">
        <x:v>https://de.wikipedia.org/wiki/Lena_Kiefer</x:v>
      </x:c>
      <x:c r="M188" s="11" t="str">
        <x:v>Westwell</x:v>
      </x:c>
      <x:c r="N188" s="11" t="str">
        <x:v>Full verified</x:v>
      </x:c>
      <x:c r="O188" s="11" t="str">
        <x:v>Genre is a standardized analytical category for this project.</x:v>
      </x:c>
    </x:row>
    <x:row r="189">
      <x:c r="A189" s="11" t="str">
        <x:v>Picking Daisies on Sundays</x:v>
      </x:c>
      <x:c r="B189" s="11" t="str">
        <x:v>Liana Cincotti</x:v>
      </x:c>
      <x:c r="C189" s="11" t="str">
        <x:v>978-3-473-58727-8</x:v>
      </x:c>
      <x:c r="D189" s="11" t="str">
        <x:v>Ravensburger</x:v>
      </x:c>
      <x:c r="E189" s="11" t="str">
        <x:v>Romance / YA</x:v>
      </x:c>
      <x:c r="F189" s="11" t="str">
        <x:v>2026-04-28</x:v>
      </x:c>
      <x:c r="G189" s="14" t="n">
        <x:v>14.99</x:v>
      </x:c>
      <x:c r="H189" s="11" t="str">
        <x:v>Paperback</x:v>
      </x:c>
      <x:c r="I189" s="11" t="str">
        <x:v>No</x:v>
      </x:c>
      <x:c r="J189" s="11"/>
      <x:c r="K189" s="11" t="str">
        <x:v>No</x:v>
      </x:c>
      <x:c r="L189" s="11" t="str">
        <x:v>https://www.thalia.de/shop/home/artikeldetails/A1076781902</x:v>
      </x:c>
      <x:c r="M189" s="11"/>
      <x:c r="N189" s="11" t="str">
        <x:v>Full verified</x:v>
      </x:c>
      <x:c r="O189" s="11" t="str">
        <x:v>Relevant chart-era edition used; broad genre standardized for analysis.</x:v>
      </x:c>
    </x:row>
    <x:row r="190">
      <x:c r="A190" s="11" t="str">
        <x:v>Das Jahr voller Bücher und Wunder</x:v>
      </x:c>
      <x:c r="B190" s="11" t="str">
        <x:v>Libby Page</x:v>
      </x:c>
      <x:c r="C190" s="11" t="str">
        <x:v>978-3-442-49689-1</x:v>
      </x:c>
      <x:c r="D190" s="11" t="str">
        <x:v>Goldmann</x:v>
      </x:c>
      <x:c r="E190" s="11" t="str">
        <x:v>Contemporary Fiction</x:v>
      </x:c>
      <x:c r="F190" s="11" t="str">
        <x:v>2025-10-15</x:v>
      </x:c>
      <x:c r="G190" s="14" t="n">
        <x:v>14</x:v>
      </x:c>
      <x:c r="H190" s="11" t="str">
        <x:v>Taschenbuch</x:v>
      </x:c>
      <x:c r="I190" s="11" t="str">
        <x:v>No</x:v>
      </x:c>
      <x:c r="J190" s="11"/>
      <x:c r="K190" s="11" t="str">
        <x:v>No</x:v>
      </x:c>
      <x:c r="L190" s="11" t="str">
        <x:v>https://www.thalia.de/shop/home/artikeldetails/A1074781216</x:v>
      </x:c>
      <x:c r="M190" s="11"/>
      <x:c r="N190" s="11" t="str">
        <x:v>Full verified</x:v>
      </x:c>
      <x:c r="O190" s="11" t="str">
        <x:v>Relevant chart-era edition used; broad genre standardized for analysis.</x:v>
      </x:c>
    </x:row>
    <x:row r="191">
      <x:c r="A191" s="11" t="str">
        <x:v>A Place to Belong</x:v>
      </x:c>
      <x:c r="B191" s="11" t="str">
        <x:v>Lilly Lucas</x:v>
      </x:c>
      <x:c r="C191" s="11" t="str">
        <x:v>978-3-426-52863-1</x:v>
      </x:c>
      <x:c r="D191" s="11" t="str">
        <x:v>Knaur TB</x:v>
      </x:c>
      <x:c r="E191" s="11" t="str">
        <x:v>Romance / Contemporary</x:v>
      </x:c>
      <x:c r="F191" s="11" t="str">
        <x:v>2023-04-03</x:v>
      </x:c>
      <x:c r="G191" s="14" t="n">
        <x:v>14</x:v>
      </x:c>
      <x:c r="H191" s="11" t="str">
        <x:v>Paperback</x:v>
      </x:c>
      <x:c r="I191" s="11" t="str">
        <x:v>Yes</x:v>
      </x:c>
      <x:c r="J191" s="11" t="n">
        <x:v>3</x:v>
      </x:c>
      <x:c r="K191" s="11" t="str">
        <x:v>No</x:v>
      </x:c>
      <x:c r="L191" s="11" t="str">
        <x:v>https://www.droemer-knaur.de/buch/lilly-lucas-a-place-to-belong-9783426528631</x:v>
      </x:c>
      <x:c r="M191" s="11" t="str">
        <x:v>Cherry Hill</x:v>
      </x:c>
      <x:c r="N191" s="11" t="str">
        <x:v>Full verified</x:v>
      </x:c>
      <x:c r="O191" s="11" t="str">
        <x:v>Genre is a standardized analytical category for this project.</x:v>
      </x:c>
    </x:row>
    <x:row r="192">
      <x:c r="A192" s="11" t="str">
        <x:v>New Wishes</x:v>
      </x:c>
      <x:c r="B192" s="11" t="str">
        <x:v>Lilly Lucas</x:v>
      </x:c>
      <x:c r="C192" s="11" t="str">
        <x:v>978-3-426-52968-3</x:v>
      </x:c>
      <x:c r="D192" s="11" t="str">
        <x:v>Knaur TB</x:v>
      </x:c>
      <x:c r="E192" s="11" t="str">
        <x:v>Romance / Contemporary</x:v>
      </x:c>
      <x:c r="F192" s="11" t="str">
        <x:v>2023-11-02</x:v>
      </x:c>
      <x:c r="G192" s="14"/>
      <x:c r="H192" s="11" t="str">
        <x:v>Paperback</x:v>
      </x:c>
      <x:c r="I192" s="11" t="str">
        <x:v>Yes</x:v>
      </x:c>
      <x:c r="J192" s="11" t="n">
        <x:v>6</x:v>
      </x:c>
      <x:c r="K192" s="11" t="str">
        <x:v>No</x:v>
      </x:c>
      <x:c r="L192" s="11" t="str">
        <x:v>https://www.droemer-knaur.de/buch/lilly-lucas-new-wishes-9783426529683</x:v>
      </x:c>
      <x:c r="M192" s="11" t="str">
        <x:v>Green Valley</x:v>
      </x:c>
      <x:c r="N192" s="11" t="str">
        <x:v>Full verified</x:v>
      </x:c>
      <x:c r="O192" s="11" t="str">
        <x:v>Genre is a standardized analytical category for this project.</x:v>
      </x:c>
    </x:row>
    <x:row r="193">
      <x:c r="A193" s="11" t="str">
        <x:v>This could be forever</x:v>
      </x:c>
      <x:c r="B193" s="11" t="str">
        <x:v>Lilly Lucas</x:v>
      </x:c>
      <x:c r="C193" s="11" t="str">
        <x:v>978-3-426-53091-7</x:v>
      </x:c>
      <x:c r="D193" s="11" t="str">
        <x:v>Knaur TB</x:v>
      </x:c>
      <x:c r="E193" s="11" t="str">
        <x:v>Romance / New Adult</x:v>
      </x:c>
      <x:c r="F193" s="11" t="str">
        <x:v>2025-09-01</x:v>
      </x:c>
      <x:c r="G193" s="14" t="n">
        <x:v>16</x:v>
      </x:c>
      <x:c r="H193" s="11" t="str">
        <x:v>Paperback</x:v>
      </x:c>
      <x:c r="I193" s="11" t="str">
        <x:v>Yes</x:v>
      </x:c>
      <x:c r="J193" s="11" t="n">
        <x:v>3</x:v>
      </x:c>
      <x:c r="K193" s="11" t="str">
        <x:v>No</x:v>
      </x:c>
      <x:c r="L193" s="11" t="str">
        <x:v>https://www.droemer-knaur.de/buch/lilly-lucas-this-could-be-forever-9783426530917</x:v>
      </x:c>
      <x:c r="M193" s="11" t="str">
        <x:v>Hawaii Love</x:v>
      </x:c>
      <x:c r="N193" s="11" t="str">
        <x:v>Full verified</x:v>
      </x:c>
      <x:c r="O193" s="11" t="str">
        <x:v>Relevant chart-era edition used; broad genre standardized for analysis.</x:v>
      </x:c>
    </x:row>
    <x:row r="194">
      <x:c r="A194" s="11" t="str">
        <x:v>This could be home</x:v>
      </x:c>
      <x:c r="B194" s="11" t="str">
        <x:v>Lilly Lucas</x:v>
      </x:c>
      <x:c r="C194" s="11" t="str">
        <x:v>978-3-426-53090-0</x:v>
      </x:c>
      <x:c r="D194" s="11" t="str">
        <x:v>Knaur TB</x:v>
      </x:c>
      <x:c r="E194" s="11" t="str">
        <x:v>Romance / New Adult</x:v>
      </x:c>
      <x:c r="F194" s="11" t="str">
        <x:v>2025-01-14</x:v>
      </x:c>
      <x:c r="G194" s="14" t="n">
        <x:v>16</x:v>
      </x:c>
      <x:c r="H194" s="11" t="str">
        <x:v>Paperback</x:v>
      </x:c>
      <x:c r="I194" s="11" t="str">
        <x:v>Yes</x:v>
      </x:c>
      <x:c r="J194" s="11" t="n">
        <x:v>2</x:v>
      </x:c>
      <x:c r="K194" s="11" t="str">
        <x:v>No</x:v>
      </x:c>
      <x:c r="L194" s="11" t="str">
        <x:v>https://www.droemer-knaur.de/buch/lilly-lucas-this-could-be-home-9783426530900</x:v>
      </x:c>
      <x:c r="M194" s="11" t="str">
        <x:v>Hawaii Love</x:v>
      </x:c>
      <x:c r="N194" s="11" t="str">
        <x:v>Full verified</x:v>
      </x:c>
      <x:c r="O194" s="11" t="str">
        <x:v>Relevant chart-era edition used; broad genre standardized for analysis.</x:v>
      </x:c>
    </x:row>
    <x:row r="195">
      <x:c r="A195" s="11" t="str">
        <x:v>This could be love</x:v>
      </x:c>
      <x:c r="B195" s="11" t="str">
        <x:v>Lilly Lucas</x:v>
      </x:c>
      <x:c r="C195" s="11" t="str">
        <x:v>978-3-426-53089-4</x:v>
      </x:c>
      <x:c r="D195" s="11" t="str">
        <x:v>Knaur TB</x:v>
      </x:c>
      <x:c r="E195" s="11" t="str">
        <x:v>Romance / New Adult</x:v>
      </x:c>
      <x:c r="F195" s="11" t="str">
        <x:v>2024-07-01</x:v>
      </x:c>
      <x:c r="G195" s="14" t="n">
        <x:v>15</x:v>
      </x:c>
      <x:c r="H195" s="11" t="str">
        <x:v>Paperback</x:v>
      </x:c>
      <x:c r="I195" s="11" t="str">
        <x:v>Yes</x:v>
      </x:c>
      <x:c r="J195" s="11" t="n">
        <x:v>1</x:v>
      </x:c>
      <x:c r="K195" s="11" t="str">
        <x:v>No</x:v>
      </x:c>
      <x:c r="L195" s="11" t="str">
        <x:v>https://www.droemer-knaur.de/buch/lilly-lucas-this-could-be-love-9783426530894</x:v>
      </x:c>
      <x:c r="M195" s="11" t="str">
        <x:v>Hawaii Love</x:v>
      </x:c>
      <x:c r="N195" s="11" t="str">
        <x:v>Full verified</x:v>
      </x:c>
      <x:c r="O195" s="11" t="str">
        <x:v>Relevant German edition used; broad genre standardized for analysis.</x:v>
      </x:c>
    </x:row>
    <x:row r="196">
      <x:c r="A196" s="11" t="str">
        <x:v>Das Camp</x:v>
      </x:c>
      <x:c r="B196" s="11" t="str">
        <x:v>Linus Geschke</x:v>
      </x:c>
      <x:c r="C196" s="11" t="str">
        <x:v>978-3-492-06862-8</x:v>
      </x:c>
      <x:c r="D196" s="11" t="str">
        <x:v>Piper</x:v>
      </x:c>
      <x:c r="E196" s="11" t="str">
        <x:v>Thriller / Suspense</x:v>
      </x:c>
      <x:c r="F196" s="11" t="str">
        <x:v>2026-01-30</x:v>
      </x:c>
      <x:c r="G196" s="14" t="n">
        <x:v>17</x:v>
      </x:c>
      <x:c r="H196" s="11" t="str">
        <x:v>Paperback</x:v>
      </x:c>
      <x:c r="I196" s="11" t="str">
        <x:v>Yes</x:v>
      </x:c>
      <x:c r="J196" s="11" t="n">
        <x:v>2</x:v>
      </x:c>
      <x:c r="K196" s="11" t="str">
        <x:v>No</x:v>
      </x:c>
      <x:c r="L196" s="11" t="str">
        <x:v>https://www.piper.de/buecher/das-camp-isbn-978-3-492-06862-8</x:v>
      </x:c>
      <x:c r="M196" s="11" t="str">
        <x:v>Donkerbloem</x:v>
      </x:c>
      <x:c r="N196" s="11" t="str">
        <x:v>Full verified</x:v>
      </x:c>
      <x:c r="O196" s="11" t="str">
        <x:v>Relevant chart-era edition used; broad genre standardized for analysis.</x:v>
      </x:c>
    </x:row>
    <x:row r="197">
      <x:c r="A197" s="11" t="str">
        <x:v>In Her Own League</x:v>
      </x:c>
      <x:c r="B197" s="11" t="str">
        <x:v>Liz Tomforde</x:v>
      </x:c>
      <x:c r="C197" s="11" t="str">
        <x:v>978-1-3997-4644-1</x:v>
      </x:c>
      <x:c r="D197" s="11" t="str">
        <x:v>Hodder &amp; Stoughton</x:v>
      </x:c>
      <x:c r="E197" s="11" t="str">
        <x:v>Sports Romance</x:v>
      </x:c>
      <x:c r="F197" s="11" t="str">
        <x:v>2026-03-03</x:v>
      </x:c>
      <x:c r="G197" s="14"/>
      <x:c r="H197" s="11" t="str">
        <x:v>English Paperback</x:v>
      </x:c>
      <x:c r="I197" s="11" t="str">
        <x:v>No</x:v>
      </x:c>
      <x:c r="J197" s="11"/>
      <x:c r="K197" s="11" t="str">
        <x:v>No</x:v>
      </x:c>
      <x:c r="L197" s="11" t="str">
        <x:v>https://www.hachette.co.uk/titles/liz-tomforde/in-her-own-league/9781399746441/</x:v>
      </x:c>
      <x:c r="M197" s="11" t="str">
        <x:v>Windy City universe</x:v>
      </x:c>
      <x:c r="N197" s="11" t="str">
        <x:v>Edition ambiguous</x:v>
      </x:c>
      <x:c r="O197" s="11" t="str">
        <x:v>March 2026 BookTok appearance is best matched to the English chart-era edition; German edition was not used.</x:v>
      </x:c>
    </x:row>
    <x:row r="198">
      <x:c r="A198" s="11" t="str">
        <x:v>Mile High</x:v>
      </x:c>
      <x:c r="B198" s="11" t="str">
        <x:v>Liz Tomforde</x:v>
      </x:c>
      <x:c r="C198" s="11" t="str">
        <x:v>978-3-7341-1347-5</x:v>
      </x:c>
      <x:c r="D198" s="11" t="str">
        <x:v>Blanvalet</x:v>
      </x:c>
      <x:c r="E198" s="11" t="str">
        <x:v>Romance / New Adult</x:v>
      </x:c>
      <x:c r="F198" s="11" t="str">
        <x:v>2024-05-22</x:v>
      </x:c>
      <x:c r="G198" s="14"/>
      <x:c r="H198" s="11" t="str">
        <x:v>Paperback</x:v>
      </x:c>
      <x:c r="I198" s="11" t="str">
        <x:v>Yes</x:v>
      </x:c>
      <x:c r="J198" s="11" t="n">
        <x:v>1</x:v>
      </x:c>
      <x:c r="K198" s="11" t="str">
        <x:v>No</x:v>
      </x:c>
      <x:c r="L198" s="11" t="str">
        <x:v>https://www.thalia.de/shop/home/artikeldetails/A1070058042</x:v>
      </x:c>
      <x:c r="M198" s="11" t="str">
        <x:v>Windy City</x:v>
      </x:c>
      <x:c r="N198" s="11" t="str">
        <x:v>Full verified</x:v>
      </x:c>
      <x:c r="O198" s="11" t="str">
        <x:v>Relevant German edition used; broad genre standardized for analysis.</x:v>
      </x:c>
    </x:row>
    <x:row r="199">
      <x:c r="A199" s="11" t="str">
        <x:v>Play Along</x:v>
      </x:c>
      <x:c r="B199" s="11" t="str">
        <x:v>Liz Tomforde</x:v>
      </x:c>
      <x:c r="C199" s="11" t="str">
        <x:v>978-3-7341-1365-9</x:v>
      </x:c>
      <x:c r="D199" s="11" t="str">
        <x:v>Blanvalet</x:v>
      </x:c>
      <x:c r="E199" s="11" t="str">
        <x:v>Romance / New Adult</x:v>
      </x:c>
      <x:c r="F199" s="11" t="str">
        <x:v>2025-04-23</x:v>
      </x:c>
      <x:c r="G199" s="14" t="n">
        <x:v>16</x:v>
      </x:c>
      <x:c r="H199" s="11" t="str">
        <x:v>Paperback</x:v>
      </x:c>
      <x:c r="I199" s="11" t="str">
        <x:v>Yes</x:v>
      </x:c>
      <x:c r="J199" s="11" t="n">
        <x:v>4</x:v>
      </x:c>
      <x:c r="K199" s="11" t="str">
        <x:v>No</x:v>
      </x:c>
      <x:c r="L199" s="11" t="str">
        <x:v>https://www.schweitzer-online.de/buch/Tomforde/Play-Along/9783734113659/B694528/</x:v>
      </x:c>
      <x:c r="M199" s="11" t="str">
        <x:v>Windy City</x:v>
      </x:c>
      <x:c r="N199" s="11" t="str">
        <x:v>Full verified</x:v>
      </x:c>
      <x:c r="O199" s="11" t="str">
        <x:v>Relevant chart-era edition used; broad genre standardized for analysis.</x:v>
      </x:c>
    </x:row>
    <x:row r="200">
      <x:c r="A200" s="11" t="str">
        <x:v>Rewind It Back</x:v>
      </x:c>
      <x:c r="B200" s="11" t="str">
        <x:v>Liz Tomforde</x:v>
      </x:c>
      <x:c r="C200" s="11" t="str">
        <x:v>978-3-7341-1507-3</x:v>
      </x:c>
      <x:c r="D200" s="11" t="str">
        <x:v>Blanvalet</x:v>
      </x:c>
      <x:c r="E200" s="11" t="str">
        <x:v>Romance / New Adult</x:v>
      </x:c>
      <x:c r="F200" s="11" t="str">
        <x:v>2025-08-20</x:v>
      </x:c>
      <x:c r="G200" s="14"/>
      <x:c r="H200" s="11" t="str">
        <x:v>Taschenbuch</x:v>
      </x:c>
      <x:c r="I200" s="11" t="str">
        <x:v>Yes</x:v>
      </x:c>
      <x:c r="J200" s="11" t="n">
        <x:v>5</x:v>
      </x:c>
      <x:c r="K200" s="11" t="str">
        <x:v>No</x:v>
      </x:c>
      <x:c r="L200" s="11" t="str">
        <x:v>https://www.thalia.de/shop/home/artikeldetails/A1074781068</x:v>
      </x:c>
      <x:c r="M200" s="11" t="str">
        <x:v>Windy City</x:v>
      </x:c>
      <x:c r="N200" s="11" t="str">
        <x:v>Full verified</x:v>
      </x:c>
      <x:c r="O200" s="11" t="str">
        <x:v>Relevant chart-era edition used; broad genre standardized for analysis.</x:v>
      </x:c>
    </x:row>
    <x:row r="201">
      <x:c r="A201" s="11" t="str">
        <x:v>Das Mädchen aus Yorkshire</x:v>
      </x:c>
      <x:c r="B201" s="11" t="str">
        <x:v>Lucinda Riley</x:v>
      </x:c>
      <x:c r="C201" s="11" t="str">
        <x:v>978-3-442-31783-7</x:v>
      </x:c>
      <x:c r="D201" s="11" t="str">
        <x:v>Goldmann</x:v>
      </x:c>
      <x:c r="E201" s="11" t="str">
        <x:v>Historical / Contemporary Fiction</x:v>
      </x:c>
      <x:c r="F201" s="11" t="str">
        <x:v>2025</x:v>
      </x:c>
      <x:c r="G201" s="14" t="n">
        <x:v>25</x:v>
      </x:c>
      <x:c r="H201" s="11" t="str">
        <x:v>Hardcover</x:v>
      </x:c>
      <x:c r="I201" s="11" t="str">
        <x:v>No</x:v>
      </x:c>
      <x:c r="J201" s="11"/>
      <x:c r="K201" s="11" t="str">
        <x:v>No</x:v>
      </x:c>
      <x:c r="L201" s="11" t="str">
        <x:v>https://www.lucinda-riley.de/buecher/weitere-buecher/das-maedchen-aus-yorkshire/</x:v>
      </x:c>
      <x:c r="M201" s="11"/>
      <x:c r="N201" s="11" t="str">
        <x:v>Core verified</x:v>
      </x:c>
      <x:c r="O201" s="11" t="str">
        <x:v>Relevant chart-era edition used; broad genre standardized for analysis.</x:v>
      </x:c>
    </x:row>
    <x:row r="202">
      <x:c r="A202" s="11" t="str">
        <x:v>Die Frauen von Ballymore</x:v>
      </x:c>
      <x:c r="B202" s="11" t="str">
        <x:v>Lucinda Riley</x:v>
      </x:c>
      <x:c r="C202" s="11" t="str">
        <x:v>978-3-442-30234-5</x:v>
      </x:c>
      <x:c r="D202" s="11" t="str">
        <x:v>Goldmann</x:v>
      </x:c>
      <x:c r="E202" s="11" t="str">
        <x:v>Historical / Contemporary Fiction</x:v>
      </x:c>
      <x:c r="F202" s="11" t="str">
        <x:v>2025-11-12</x:v>
      </x:c>
      <x:c r="G202" s="14" t="n">
        <x:v>25</x:v>
      </x:c>
      <x:c r="H202" s="11" t="str">
        <x:v>Hardcover</x:v>
      </x:c>
      <x:c r="I202" s="11" t="str">
        <x:v>No</x:v>
      </x:c>
      <x:c r="J202" s="11"/>
      <x:c r="K202" s="11" t="str">
        <x:v>No</x:v>
      </x:c>
      <x:c r="L202" s="11" t="str">
        <x:v>https://buchhandel.de/buch/9783442302345</x:v>
      </x:c>
      <x:c r="M202" s="11"/>
      <x:c r="N202" s="11" t="str">
        <x:v>Full verified</x:v>
      </x:c>
      <x:c r="O202" s="11" t="str">
        <x:v>Relevant chart-era edition used; broad genre standardized for analysis.</x:v>
      </x:c>
    </x:row>
    <x:row r="203">
      <x:c r="A203" s="11" t="str">
        <x:v>Things We Hide From The Light</x:v>
      </x:c>
      <x:c r="B203" s="11" t="str">
        <x:v>Lucy Score</x:v>
      </x:c>
      <x:c r="C203" s="11" t="str">
        <x:v>978-3-95818-742-9</x:v>
      </x:c>
      <x:c r="D203" s="11" t="str">
        <x:v>Forever / Ullstein</x:v>
      </x:c>
      <x:c r="E203" s="11" t="str">
        <x:v>Romance / Contemporary</x:v>
      </x:c>
      <x:c r="F203" s="11" t="str">
        <x:v>2023-06-01</x:v>
      </x:c>
      <x:c r="G203" s="14"/>
      <x:c r="H203" s="11" t="str">
        <x:v>Taschenbuch</x:v>
      </x:c>
      <x:c r="I203" s="11" t="str">
        <x:v>Yes</x:v>
      </x:c>
      <x:c r="J203" s="11" t="n">
        <x:v>2</x:v>
      </x:c>
      <x:c r="K203" s="11" t="str">
        <x:v>No</x:v>
      </x:c>
      <x:c r="L203" s="11" t="str">
        <x:v>https://www.thalia.de/shop/home/artikeldetails/A1067079706</x:v>
      </x:c>
      <x:c r="M203" s="11" t="str">
        <x:v>Knockemout</x:v>
      </x:c>
      <x:c r="N203" s="11" t="str">
        <x:v>Full verified</x:v>
      </x:c>
      <x:c r="O203" s="11" t="str">
        <x:v>Genre is a standardized analytical category for this project.</x:v>
      </x:c>
    </x:row>
    <x:row r="204">
      <x:c r="A204" s="11" t="str">
        <x:v>Things We Never Got Over (Knockemout 1)</x:v>
      </x:c>
      <x:c r="B204" s="11" t="str">
        <x:v>Lucy Score</x:v>
      </x:c>
      <x:c r="C204" s="11" t="str">
        <x:v>978-3-95818-744-3</x:v>
      </x:c>
      <x:c r="D204" s="11" t="str">
        <x:v>Forever / Ullstein</x:v>
      </x:c>
      <x:c r="E204" s="11" t="str">
        <x:v>Romance / Contemporary</x:v>
      </x:c>
      <x:c r="F204" s="11" t="str">
        <x:v>2023-04</x:v>
      </x:c>
      <x:c r="G204" s="14"/>
      <x:c r="H204" s="11" t="str">
        <x:v>Paperback</x:v>
      </x:c>
      <x:c r="I204" s="11" t="str">
        <x:v>Yes</x:v>
      </x:c>
      <x:c r="J204" s="11" t="n">
        <x:v>1</x:v>
      </x:c>
      <x:c r="K204" s="11" t="str">
        <x:v>No</x:v>
      </x:c>
      <x:c r="L204" s="11" t="str">
        <x:v>https://www.legimi.de/e-book-things-we-never-got-over-lucy-score%2Cb3557610.html</x:v>
      </x:c>
      <x:c r="M204" s="11" t="str">
        <x:v>Knockemout</x:v>
      </x:c>
      <x:c r="N204" s="11" t="str">
        <x:v>Full verified</x:v>
      </x:c>
      <x:c r="O204" s="11" t="str">
        <x:v>Genre is a standardized analytical category for this project.</x:v>
      </x:c>
    </x:row>
    <x:row r="205">
      <x:c r="A205" s="11" t="str">
        <x:v>House of Verity (Abschlussband der dystopischen Fantasysaga)</x:v>
      </x:c>
      <x:c r="B205" s="11" t="str">
        <x:v>Marah Woolf</x:v>
      </x:c>
      <x:c r="C205" s="11" t="str">
        <x:v>978-3-98942-512-5</x:v>
      </x:c>
      <x:c r="D205" s="11" t="str">
        <x:v>Marah Woolf / Nova MD</x:v>
      </x:c>
      <x:c r="E205" s="11" t="str">
        <x:v>Fantasy / Dystopian</x:v>
      </x:c>
      <x:c r="F205" s="11" t="str">
        <x:v>2025-05-06</x:v>
      </x:c>
      <x:c r="G205" s="14"/>
      <x:c r="H205" s="11" t="str">
        <x:v>Hardcover</x:v>
      </x:c>
      <x:c r="I205" s="11" t="str">
        <x:v>Yes</x:v>
      </x:c>
      <x:c r="J205" s="11" t="n">
        <x:v>3</x:v>
      </x:c>
      <x:c r="K205" s="11" t="str">
        <x:v>Yes</x:v>
      </x:c>
      <x:c r="L205" s="11" t="str">
        <x:v>https://www.thalia.de/shop/home/artikeldetails/A1073410729</x:v>
      </x:c>
      <x:c r="M205" s="11" t="str">
        <x:v>Zodiac-Chroniken</x:v>
      </x:c>
      <x:c r="N205" s="11" t="str">
        <x:v>Full verified</x:v>
      </x:c>
      <x:c r="O205" s="11" t="str">
        <x:v>Relevant chart-era edition used; broad genre standardized for analysis.</x:v>
      </x:c>
    </x:row>
    <x:row r="206">
      <x:c r="A206" s="11" t="str">
        <x:v>WiccaCreed - Schuld &amp; Sünde</x:v>
      </x:c>
      <x:c r="B206" s="11" t="str">
        <x:v>Marah Woolf</x:v>
      </x:c>
      <x:c r="C206" s="11" t="str">
        <x:v>978-3-98595-546-6</x:v>
      </x:c>
      <x:c r="D206" s="11" t="str">
        <x:v>Marah Woolf / Vertrieb Nova MD</x:v>
      </x:c>
      <x:c r="E206" s="11" t="str">
        <x:v>Fantasy / Romantasy</x:v>
      </x:c>
      <x:c r="F206" s="11" t="str">
        <x:v>2023-08-22</x:v>
      </x:c>
      <x:c r="G206" s="14" t="n">
        <x:v>22</x:v>
      </x:c>
      <x:c r="H206" s="11" t="str">
        <x:v>Hardcover</x:v>
      </x:c>
      <x:c r="I206" s="11" t="str">
        <x:v>Yes</x:v>
      </x:c>
      <x:c r="J206" s="11" t="n">
        <x:v>2</x:v>
      </x:c>
      <x:c r="K206" s="11" t="str">
        <x:v>Yes</x:v>
      </x:c>
      <x:c r="L206" s="11" t="str">
        <x:v>https://www.thalia.de/shop/home/artikeldetails/A1067938425</x:v>
      </x:c>
      <x:c r="M206" s="11" t="str">
        <x:v>WiccaCreed</x:v>
      </x:c>
      <x:c r="N206" s="11" t="str">
        <x:v>Full verified</x:v>
      </x:c>
      <x:c r="O206" s="11" t="str">
        <x:v>Genre is a standardized analytical category for this project.</x:v>
      </x:c>
    </x:row>
    <x:row r="207">
      <x:c r="A207" s="11" t="str">
        <x:v>WiccaCreed Rache &amp; Feuer</x:v>
      </x:c>
      <x:c r="B207" s="11" t="str">
        <x:v>Marah Woolf</x:v>
      </x:c>
      <x:c r="C207" s="11" t="str">
        <x:v>978-3-98595-547-3</x:v>
      </x:c>
      <x:c r="D207" s="11" t="str">
        <x:v>Marah Woolf / Vertrieb Nova MD</x:v>
      </x:c>
      <x:c r="E207" s="11" t="str">
        <x:v>Fantasy / Romantasy</x:v>
      </x:c>
      <x:c r="F207" s="11" t="str">
        <x:v>2023-12-05</x:v>
      </x:c>
      <x:c r="G207" s="14" t="n">
        <x:v>24</x:v>
      </x:c>
      <x:c r="H207" s="11" t="str">
        <x:v>Hardcover</x:v>
      </x:c>
      <x:c r="I207" s="11" t="str">
        <x:v>Yes</x:v>
      </x:c>
      <x:c r="J207" s="11" t="n">
        <x:v>3</x:v>
      </x:c>
      <x:c r="K207" s="11" t="str">
        <x:v>Yes</x:v>
      </x:c>
      <x:c r="L207" s="11" t="str">
        <x:v>https://www.thalia.de/shop/home/artikeldetails/A1067938459</x:v>
      </x:c>
      <x:c r="M207" s="11" t="str">
        <x:v>WiccaCreed</x:v>
      </x:c>
      <x:c r="N207" s="11" t="str">
        <x:v>Full verified</x:v>
      </x:c>
      <x:c r="O207" s="11" t="str">
        <x:v>Genre is a standardized analytical category for this project.</x:v>
      </x:c>
    </x:row>
    <x:row r="208">
      <x:c r="A208" s="11" t="str">
        <x:v>WiccaCreed Zeichen &amp; Omen</x:v>
      </x:c>
      <x:c r="B208" s="11" t="str">
        <x:v>Marah Woolf</x:v>
      </x:c>
      <x:c r="C208" s="11" t="str">
        <x:v>978-3-98595-592-3</x:v>
      </x:c>
      <x:c r="D208" s="11" t="str">
        <x:v>Marah Woolf / Vertrieb Nova MD</x:v>
      </x:c>
      <x:c r="E208" s="11" t="str">
        <x:v>Fantasy / Romantasy</x:v>
      </x:c>
      <x:c r="F208" s="11" t="str">
        <x:v>2023-03-28</x:v>
      </x:c>
      <x:c r="G208" s="14" t="n">
        <x:v>22</x:v>
      </x:c>
      <x:c r="H208" s="11" t="str">
        <x:v>Hardcover</x:v>
      </x:c>
      <x:c r="I208" s="11" t="str">
        <x:v>Yes</x:v>
      </x:c>
      <x:c r="J208" s="11" t="n">
        <x:v>1</x:v>
      </x:c>
      <x:c r="K208" s="11" t="str">
        <x:v>Yes</x:v>
      </x:c>
      <x:c r="L208" s="11" t="str">
        <x:v>https://www.thalia.de/shop/home/artikeldetails/A1066791388</x:v>
      </x:c>
      <x:c r="M208" s="11" t="str">
        <x:v>WiccaCreed</x:v>
      </x:c>
      <x:c r="N208" s="11" t="str">
        <x:v>Full verified</x:v>
      </x:c>
      <x:c r="O208" s="11" t="str">
        <x:v>Genre is a standardized analytical category for this project.</x:v>
      </x:c>
    </x:row>
    <x:row r="209">
      <x:c r="A209" s="11" t="str">
        <x:v>Belladaire Academy of Athletes - Misfits</x:v>
      </x:c>
      <x:c r="B209" s="11" t="str">
        <x:v>Maren Vivien Haase</x:v>
      </x:c>
      <x:c r="C209" s="11" t="str">
        <x:v>978-3-7341-1280-5</x:v>
      </x:c>
      <x:c r="D209" s="11" t="str">
        <x:v>Blanvalet</x:v>
      </x:c>
      <x:c r="E209" s="11" t="str">
        <x:v>Romance / New Adult</x:v>
      </x:c>
      <x:c r="F209" s="11" t="str">
        <x:v>2024-04-17</x:v>
      </x:c>
      <x:c r="G209" s="14" t="n">
        <x:v>15</x:v>
      </x:c>
      <x:c r="H209" s="11" t="str">
        <x:v>Paperback</x:v>
      </x:c>
      <x:c r="I209" s="11" t="str">
        <x:v>Yes</x:v>
      </x:c>
      <x:c r="J209" s="11" t="n">
        <x:v>3</x:v>
      </x:c>
      <x:c r="K209" s="11" t="str">
        <x:v>No</x:v>
      </x:c>
      <x:c r="L209" s="11" t="str">
        <x:v>https://www.marenvivienhaase.de/belladaire-academy-of-athletes-misfits</x:v>
      </x:c>
      <x:c r="M209" s="11" t="str">
        <x:v>Belladaire Academy of Athletes</x:v>
      </x:c>
      <x:c r="N209" s="11" t="str">
        <x:v>Full verified</x:v>
      </x:c>
      <x:c r="O209" s="11" t="str">
        <x:v>Relevant German edition used; broad genre standardized for analysis.</x:v>
      </x:c>
    </x:row>
    <x:row r="210">
      <x:c r="A210" s="11" t="str">
        <x:v>Belladaire Academy of Athletes - Rivals</x:v>
      </x:c>
      <x:c r="B210" s="11" t="str">
        <x:v>Maren Vivien Haase</x:v>
      </x:c>
      <x:c r="C210" s="11" t="str">
        <x:v>978-3-7341-1279-9</x:v>
      </x:c>
      <x:c r="D210" s="11" t="str">
        <x:v>Blanvalet</x:v>
      </x:c>
      <x:c r="E210" s="11" t="str">
        <x:v>Romance / New Adult</x:v>
      </x:c>
      <x:c r="F210" s="11" t="str">
        <x:v>2024-01-17</x:v>
      </x:c>
      <x:c r="G210" s="14"/>
      <x:c r="H210" s="11" t="str">
        <x:v>Paperback</x:v>
      </x:c>
      <x:c r="I210" s="11" t="str">
        <x:v>Yes</x:v>
      </x:c>
      <x:c r="J210" s="11" t="n">
        <x:v>2</x:v>
      </x:c>
      <x:c r="K210" s="11" t="str">
        <x:v>No</x:v>
      </x:c>
      <x:c r="L210" s="11" t="str">
        <x:v>https://www.marenvivienhaase.de/belladaire-academy-of-athletes-rivals</x:v>
      </x:c>
      <x:c r="M210" s="11" t="str">
        <x:v>Belladaire Academy of Athletes</x:v>
      </x:c>
      <x:c r="N210" s="11" t="str">
        <x:v>Full verified</x:v>
      </x:c>
      <x:c r="O210" s="11" t="str">
        <x:v>Relevant German edition used; broad genre standardized for analysis.</x:v>
      </x:c>
    </x:row>
    <x:row r="211">
      <x:c r="A211" s="11" t="str">
        <x:v>How to Catch a (Fake) Cowboy</x:v>
      </x:c>
      <x:c r="B211" s="11" t="str">
        <x:v>Maren Vivien Haase</x:v>
      </x:c>
      <x:c r="C211" s="11" t="str">
        <x:v>978-3-7645-1014-5</x:v>
      </x:c>
      <x:c r="D211" s="11" t="str">
        <x:v>Blanvalet</x:v>
      </x:c>
      <x:c r="E211" s="11" t="str">
        <x:v>Romance / New Adult</x:v>
      </x:c>
      <x:c r="F211" s="11" t="str">
        <x:v>2026-06-17</x:v>
      </x:c>
      <x:c r="G211" s="14"/>
      <x:c r="H211" s="11" t="str">
        <x:v>Paperback</x:v>
      </x:c>
      <x:c r="I211" s="11" t="str">
        <x:v>No</x:v>
      </x:c>
      <x:c r="J211" s="11"/>
      <x:c r="K211" s="11" t="str">
        <x:v>No</x:v>
      </x:c>
      <x:c r="L211" s="11" t="str">
        <x:v>https://www.mueller.de/p/how-to-catch-a-fake-cowboy-PPN3205339/</x:v>
      </x:c>
      <x:c r="M211" s="11"/>
      <x:c r="N211" s="11" t="str">
        <x:v>Full verified</x:v>
      </x:c>
      <x:c r="O211" s="11" t="str">
        <x:v>Relevant chart-era edition used; broad genre standardized for analysis.</x:v>
      </x:c>
    </x:row>
    <x:row r="212">
      <x:c r="A212" s="11" t="str">
        <x:v>Ember King</x:v>
      </x:c>
      <x:c r="B212" s="11" t="str">
        <x:v>Marie Niehoff</x:v>
      </x:c>
      <x:c r="C212" s="11" t="str">
        <x:v>978-3-499-01637-0</x:v>
      </x:c>
      <x:c r="D212" s="11" t="str">
        <x:v>KYSS / Rowohlt</x:v>
      </x:c>
      <x:c r="E212" s="11" t="str">
        <x:v>Fantasy / Romantasy</x:v>
      </x:c>
      <x:c r="F212" s="11" t="str">
        <x:v>2025-10</x:v>
      </x:c>
      <x:c r="G212" s="14"/>
      <x:c r="H212" s="11" t="str">
        <x:v>Klappenbroschur</x:v>
      </x:c>
      <x:c r="I212" s="11" t="str">
        <x:v>Yes</x:v>
      </x:c>
      <x:c r="J212" s="11" t="n">
        <x:v>3</x:v>
      </x:c>
      <x:c r="K212" s="11" t="str">
        <x:v>No</x:v>
      </x:c>
      <x:c r="L212" s="11" t="str">
        <x:v>https://marie-niehoff.de/ember-king/</x:v>
      </x:c>
      <x:c r="M212" s="11" t="str">
        <x:v>Dragonbound</x:v>
      </x:c>
      <x:c r="N212" s="11" t="str">
        <x:v>Core verified</x:v>
      </x:c>
      <x:c r="O212" s="11" t="str">
        <x:v>Month-level publication date retained.</x:v>
      </x:c>
    </x:row>
    <x:row r="213">
      <x:c r="A213" s="11" t="str">
        <x:v>Lucifer Ascending - One Sinful Secret</x:v>
      </x:c>
      <x:c r="B213" s="11" t="str">
        <x:v>Marie Niehoff</x:v>
      </x:c>
      <x:c r="C213" s="11" t="str">
        <x:v>978-3-499-01707-0</x:v>
      </x:c>
      <x:c r="D213" s="11" t="str">
        <x:v>KYSS / Rowohlt</x:v>
      </x:c>
      <x:c r="E213" s="11" t="str">
        <x:v>Fantasy / Romantasy</x:v>
      </x:c>
      <x:c r="F213" s="11" t="str">
        <x:v>2026-05-15</x:v>
      </x:c>
      <x:c r="G213" s="14" t="n">
        <x:v>24</x:v>
      </x:c>
      <x:c r="H213" s="11" t="str">
        <x:v>Hardcover</x:v>
      </x:c>
      <x:c r="I213" s="11" t="str">
        <x:v>Yes</x:v>
      </x:c>
      <x:c r="J213" s="11" t="n">
        <x:v>1</x:v>
      </x:c>
      <x:c r="K213" s="11" t="str">
        <x:v>No</x:v>
      </x:c>
      <x:c r="L213" s="11" t="str">
        <x:v>https://www.rowohlt.de/buch/marie-niehoff-lucifer-ascending-one-sinful-secret-9783499017070</x:v>
      </x:c>
      <x:c r="M213" s="11" t="str">
        <x:v>Lucifer</x:v>
      </x:c>
      <x:c r="N213" s="11" t="str">
        <x:v>Full verified</x:v>
      </x:c>
      <x:c r="O213" s="11" t="str">
        <x:v>Relevant chart-era edition used; broad genre standardized for analysis.</x:v>
      </x:c>
    </x:row>
    <x:row r="214">
      <x:c r="A214" s="11" t="str">
        <x:v>The Queen Will Rise</x:v>
      </x:c>
      <x:c r="B214" s="11" t="str">
        <x:v>Marie Niehoff</x:v>
      </x:c>
      <x:c r="C214" s="11" t="str">
        <x:v>978-3-499-01176-4</x:v>
      </x:c>
      <x:c r="D214" s="11" t="str">
        <x:v>KYSS / Rowohlt</x:v>
      </x:c>
      <x:c r="E214" s="11" t="str">
        <x:v>Fantasy / Romantasy</x:v>
      </x:c>
      <x:c r="F214" s="11" t="str">
        <x:v>2024-01-30</x:v>
      </x:c>
      <x:c r="G214" s="14" t="n">
        <x:v>16</x:v>
      </x:c>
      <x:c r="H214" s="11" t="str">
        <x:v>Paperback</x:v>
      </x:c>
      <x:c r="I214" s="11" t="str">
        <x:v>Yes</x:v>
      </x:c>
      <x:c r="J214" s="11" t="n">
        <x:v>2</x:v>
      </x:c>
      <x:c r="K214" s="11" t="str">
        <x:v>No</x:v>
      </x:c>
      <x:c r="L214" s="11" t="str">
        <x:v>https://www.rowohlt.de/buch/marie-niehoff-the-queen-will-rise-9783499011764</x:v>
      </x:c>
      <x:c r="M214" s="11" t="str">
        <x:v>Vampire Royals</x:v>
      </x:c>
      <x:c r="N214" s="11" t="str">
        <x:v>Full verified</x:v>
      </x:c>
      <x:c r="O214" s="11" t="str">
        <x:v>Relevant German edition used; broad genre standardized for analysis.</x:v>
      </x:c>
    </x:row>
    <x:row r="215">
      <x:c r="A215" s="11" t="str">
        <x:v>When The King Falls</x:v>
      </x:c>
      <x:c r="B215" s="11" t="str">
        <x:v>Marie Niehoff</x:v>
      </x:c>
      <x:c r="C215" s="11" t="str">
        <x:v>978-3-499-01175-7</x:v>
      </x:c>
      <x:c r="D215" s="11" t="str">
        <x:v>KYSS</x:v>
      </x:c>
      <x:c r="E215" s="11" t="str">
        <x:v>Fantasy / Romantasy</x:v>
      </x:c>
      <x:c r="F215" s="11" t="str">
        <x:v>2023-10-17</x:v>
      </x:c>
      <x:c r="G215" s="14"/>
      <x:c r="H215" s="11" t="str">
        <x:v>Klappenbroschur</x:v>
      </x:c>
      <x:c r="I215" s="11" t="str">
        <x:v>Yes</x:v>
      </x:c>
      <x:c r="J215" s="11" t="n">
        <x:v>1</x:v>
      </x:c>
      <x:c r="K215" s="11"/>
      <x:c r="L215" s="11" t="str">
        <x:v>https://marie-niehoff.de/when-the-king-falls/</x:v>
      </x:c>
      <x:c r="M215" s="11" t="str">
        <x:v>Vampire Royals</x:v>
      </x:c>
      <x:c r="N215" s="11" t="str">
        <x:v>Full verified</x:v>
      </x:c>
      <x:c r="O215" s="11" t="str">
        <x:v>Genre is a standardized analytical category for this project.</x:v>
      </x:c>
    </x:row>
    <x:row r="216">
      <x:c r="A216" s="11" t="str">
        <x:v>Star-Crossed Hearts</x:v>
      </x:c>
      <x:c r="B216" s="11" t="str">
        <x:v>Marissa Meyer</x:v>
      </x:c>
      <x:c r="C216" s="11" t="str">
        <x:v>978-3-8458-6225-5</x:v>
      </x:c>
      <x:c r="D216" s="11" t="str">
        <x:v>arsEdition</x:v>
      </x:c>
      <x:c r="E216" s="11" t="str">
        <x:v>Fantasy / YA</x:v>
      </x:c>
      <x:c r="F216" s="11" t="str">
        <x:v>2025-09-26</x:v>
      </x:c>
      <x:c r="G216" s="14" t="n">
        <x:v>22</x:v>
      </x:c>
      <x:c r="H216" s="11" t="str">
        <x:v>Hardcover</x:v>
      </x:c>
      <x:c r="I216" s="11" t="str">
        <x:v>No</x:v>
      </x:c>
      <x:c r="J216" s="11"/>
      <x:c r="K216" s="11" t="str">
        <x:v>No</x:v>
      </x:c>
      <x:c r="L216" s="11" t="str">
        <x:v>https://www.thalia.de/</x:v>
      </x:c>
      <x:c r="M216" s="11"/>
      <x:c r="N216" s="11" t="str">
        <x:v>Core verified</x:v>
      </x:c>
      <x:c r="O216" s="11" t="str">
        <x:v>Relevant chart-era edition used; broad genre standardized for analysis.</x:v>
      </x:c>
    </x:row>
    <x:row r="217">
      <x:c r="A217" s="11" t="str">
        <x:v>Die Mitternachtsbibliothek</x:v>
      </x:c>
      <x:c r="B217" s="11" t="str">
        <x:v>Matt Haig</x:v>
      </x:c>
      <x:c r="C217" s="11" t="str">
        <x:v>978-3-426-30825-7</x:v>
      </x:c>
      <x:c r="D217" s="11" t="str">
        <x:v>Droemer TB</x:v>
      </x:c>
      <x:c r="E217" s="11" t="str">
        <x:v>Contemporary / Speculative</x:v>
      </x:c>
      <x:c r="F217" s="11" t="str">
        <x:v>2023-04-03</x:v>
      </x:c>
      <x:c r="G217" s="14" t="n">
        <x:v>12.99</x:v>
      </x:c>
      <x:c r="H217" s="11" t="str">
        <x:v>Taschenbuch</x:v>
      </x:c>
      <x:c r="I217" s="11" t="str">
        <x:v>No</x:v>
      </x:c>
      <x:c r="J217" s="11"/>
      <x:c r="K217" s="11" t="str">
        <x:v>No</x:v>
      </x:c>
      <x:c r="L217" s="11" t="str">
        <x:v>https://www.droemer-knaur.de/buch/matt-haig-die-mitternachtsbibliothek-9783426308257</x:v>
      </x:c>
      <x:c r="M217" s="11"/>
      <x:c r="N217" s="11" t="str">
        <x:v>Full verified</x:v>
      </x:c>
      <x:c r="O217" s="11" t="str">
        <x:v>Genre is a standardized analytical category for this project.</x:v>
      </x:c>
    </x:row>
    <x:row r="218">
      <x:c r="A218" s="11" t="str">
        <x:v>Die Mitternachtsreise</x:v>
      </x:c>
      <x:c r="B218" s="11" t="str">
        <x:v>Matt Haig</x:v>
      </x:c>
      <x:c r="C218" s="11" t="str">
        <x:v>978-3-426-56249-9</x:v>
      </x:c>
      <x:c r="D218" s="11" t="str">
        <x:v>Droemer</x:v>
      </x:c>
      <x:c r="E218" s="11" t="str">
        <x:v>Contemporary / Speculative Fiction</x:v>
      </x:c>
      <x:c r="F218" s="11" t="str">
        <x:v>2026-05-21</x:v>
      </x:c>
      <x:c r="G218" s="14" t="n">
        <x:v>24</x:v>
      </x:c>
      <x:c r="H218" s="11" t="str">
        <x:v>Hardcover</x:v>
      </x:c>
      <x:c r="I218" s="11" t="str">
        <x:v>No</x:v>
      </x:c>
      <x:c r="J218" s="11"/>
      <x:c r="K218" s="11" t="str">
        <x:v>No</x:v>
      </x:c>
      <x:c r="L218" s="11" t="str">
        <x:v>https://www.droemer-knaur.de/buch/matt-haig-die-mitternachtsreise-9783426562499</x:v>
      </x:c>
      <x:c r="M218" s="11"/>
      <x:c r="N218" s="11" t="str">
        <x:v>Full verified</x:v>
      </x:c>
      <x:c r="O218" s="11" t="str">
        <x:v>Relevant chart-era edition used; broad genre standardized for analysis.</x:v>
      </x:c>
    </x:row>
    <x:row r="219">
      <x:c r="A219" s="11" t="str">
        <x:v>Die LET THEM Theorie</x:v>
      </x:c>
      <x:c r="B219" s="11" t="str">
        <x:v>Mel Robbins, Sawyer Robbins</x:v>
      </x:c>
      <x:c r="C219" s="11" t="str">
        <x:v>978-3-442-18065-3</x:v>
      </x:c>
      <x:c r="D219" s="11" t="str">
        <x:v>Goldmann</x:v>
      </x:c>
      <x:c r="E219" s="11" t="str">
        <x:v>Self-Help / Psychology</x:v>
      </x:c>
      <x:c r="F219" s="11" t="str">
        <x:v>2025-05</x:v>
      </x:c>
      <x:c r="G219" s="14" t="n">
        <x:v>20</x:v>
      </x:c>
      <x:c r="H219" s="11" t="str">
        <x:v>Paperback</x:v>
      </x:c>
      <x:c r="I219" s="11" t="str">
        <x:v>No</x:v>
      </x:c>
      <x:c r="J219" s="11"/>
      <x:c r="K219" s="11" t="str">
        <x:v>No</x:v>
      </x:c>
      <x:c r="L219" s="11" t="str">
        <x:v>https://www.vub.de/portal/r/u/isbn%3A9783442180653</x:v>
      </x:c>
      <x:c r="M219" s="11"/>
      <x:c r="N219" s="11" t="str">
        <x:v>Core verified</x:v>
      </x:c>
      <x:c r="O219" s="11" t="str">
        <x:v>Month-level publication date retained.</x:v>
      </x:c>
    </x:row>
    <x:row r="220">
      <x:c r="A220" s="11" t="str">
        <x:v>Culpa Mía - Meine Schuld</x:v>
      </x:c>
      <x:c r="B220" s="11" t="str">
        <x:v>Mercedes Ron</x:v>
      </x:c>
      <x:c r="C220" s="11" t="str">
        <x:v>978-3-570-31654-2</x:v>
      </x:c>
      <x:c r="D220" s="11" t="str">
        <x:v>cbt</x:v>
      </x:c>
      <x:c r="E220" s="11" t="str">
        <x:v>Romance / New Adult</x:v>
      </x:c>
      <x:c r="F220" s="11" t="str">
        <x:v>2024-03-13</x:v>
      </x:c>
      <x:c r="G220" s="14" t="n">
        <x:v>13</x:v>
      </x:c>
      <x:c r="H220" s="11" t="str">
        <x:v>Paperback</x:v>
      </x:c>
      <x:c r="I220" s="11" t="str">
        <x:v>Yes</x:v>
      </x:c>
      <x:c r="J220" s="11" t="n">
        <x:v>1</x:v>
      </x:c>
      <x:c r="K220" s="11" t="str">
        <x:v>No</x:v>
      </x:c>
      <x:c r="L220" s="11" t="str">
        <x:v>https://www.kulturkaufhaus.de/de/detail/ISBN-9783570316542/Ron-Mercedes/Culpa...</x:v>
      </x:c>
      <x:c r="M220" s="11" t="str">
        <x:v>Culpa Mía / Culpables</x:v>
      </x:c>
      <x:c r="N220" s="11" t="str">
        <x:v>Full verified</x:v>
      </x:c>
      <x:c r="O220" s="11" t="str">
        <x:v>Relevant German edition used; broad genre standardized for analysis.</x:v>
      </x:c>
    </x:row>
    <x:row r="221">
      <x:c r="A221" s="11" t="str">
        <x:v>Culpa Nuestra - Unsere Schuld</x:v>
      </x:c>
      <x:c r="B221" s="11" t="str">
        <x:v>Mercedes Ron</x:v>
      </x:c>
      <x:c r="C221" s="11"/>
      <x:c r="D221" s="11" t="str">
        <x:v>cbt</x:v>
      </x:c>
      <x:c r="E221" s="11" t="str">
        <x:v>Romance / New Adult</x:v>
      </x:c>
      <x:c r="F221" s="11" t="str">
        <x:v>2024-10-16</x:v>
      </x:c>
      <x:c r="G221" s="14"/>
      <x:c r="H221" s="11" t="str">
        <x:v>eBook / earlier edition</x:v>
      </x:c>
      <x:c r="I221" s="11" t="str">
        <x:v>Yes</x:v>
      </x:c>
      <x:c r="J221" s="11" t="n">
        <x:v>3</x:v>
      </x:c>
      <x:c r="K221" s="11" t="str">
        <x:v>No</x:v>
      </x:c>
      <x:c r="L221" s="11" t="str">
        <x:v>https://www.bueltmann-gerriets.de/9783641318710/mercedes-ron-culpa-nuestra-unsere-schuld</x:v>
      </x:c>
      <x:c r="M221" s="11" t="str">
        <x:v>Culpa Mía / Culpables</x:v>
      </x:c>
      <x:c r="N221" s="11" t="str">
        <x:v>Edition ambiguous</x:v>
      </x:c>
      <x:c r="O221" s="11" t="str">
        <x:v>The title charted before the Oct 2025 deluxe print edition; the earlier German eBook is verified, while the exact chart-era print ISBN remains ambiguous.</x:v>
      </x:c>
    </x:row>
    <x:row r="222">
      <x:c r="A222" s="11" t="str">
        <x:v>Culpa Tuya - Deine Schuld</x:v>
      </x:c>
      <x:c r="B222" s="11" t="str">
        <x:v>Mercedes Ron</x:v>
      </x:c>
      <x:c r="C222" s="11" t="str">
        <x:v>978-3-570-31663-4</x:v>
      </x:c>
      <x:c r="D222" s="11" t="str">
        <x:v>cbt</x:v>
      </x:c>
      <x:c r="E222" s="11" t="str">
        <x:v>Romance / New Adult</x:v>
      </x:c>
      <x:c r="F222" s="11" t="str">
        <x:v>2024-06-12</x:v>
      </x:c>
      <x:c r="G222" s="14" t="n">
        <x:v>15</x:v>
      </x:c>
      <x:c r="H222" s="11" t="str">
        <x:v>Paperback</x:v>
      </x:c>
      <x:c r="I222" s="11" t="str">
        <x:v>Yes</x:v>
      </x:c>
      <x:c r="J222" s="11" t="n">
        <x:v>2</x:v>
      </x:c>
      <x:c r="K222" s="11" t="str">
        <x:v>No</x:v>
      </x:c>
      <x:c r="L222" s="11" t="str">
        <x:v>https://www.bueltmann-gerriets.de/9783570316634/culpa-tuya-deine-schuld</x:v>
      </x:c>
      <x:c r="M222" s="11" t="str">
        <x:v>Culpa Mía / Culpables</x:v>
      </x:c>
      <x:c r="N222" s="11" t="str">
        <x:v>Full verified</x:v>
      </x:c>
      <x:c r="O222" s="11" t="str">
        <x:v>Relevant German edition used; broad genre standardized for analysis.</x:v>
      </x:c>
    </x:row>
    <x:row r="223">
      <x:c r="A223" s="11" t="str">
        <x:v>Tell Me with Kisses</x:v>
      </x:c>
      <x:c r="B223" s="11" t="str">
        <x:v>Mercedes Ron</x:v>
      </x:c>
      <x:c r="C223" s="11" t="str">
        <x:v>978-3-570-31728-0</x:v>
      </x:c>
      <x:c r="D223" s="11" t="str">
        <x:v>cbt</x:v>
      </x:c>
      <x:c r="E223" s="11" t="str">
        <x:v>Romance / New Adult</x:v>
      </x:c>
      <x:c r="F223" s="11" t="str">
        <x:v>2026-02-11</x:v>
      </x:c>
      <x:c r="G223" s="14" t="n">
        <x:v>14</x:v>
      </x:c>
      <x:c r="H223" s="11" t="str">
        <x:v>Paperback</x:v>
      </x:c>
      <x:c r="I223" s="11" t="str">
        <x:v>Yes</x:v>
      </x:c>
      <x:c r="J223" s="11" t="n">
        <x:v>3</x:v>
      </x:c>
      <x:c r="K223" s="11" t="str">
        <x:v>No</x:v>
      </x:c>
      <x:c r="L223" s="11" t="str">
        <x:v>https://www.jpc.de/jpcng/books/detail/-/art/mercedes-ron-tell-me-with-kisses/hnum/12243615</x:v>
      </x:c>
      <x:c r="M223" s="11" t="str">
        <x:v>Tell Me</x:v>
      </x:c>
      <x:c r="N223" s="11" t="str">
        <x:v>Full verified</x:v>
      </x:c>
      <x:c r="O223" s="11" t="str">
        <x:v>Relevant chart-era edition used; broad genre standardized for analysis.</x:v>
      </x:c>
    </x:row>
    <x:row r="224">
      <x:c r="A224" s="11" t="str">
        <x:v>Wenn nicht jetzt, wann dann</x:v>
      </x:c>
      <x:c r="B224" s="11" t="str">
        <x:v>Mimi Lawrence</x:v>
      </x:c>
      <x:c r="C224" s="11" t="str">
        <x:v>978-3-7587-0026-2</x:v>
      </x:c>
      <x:c r="D224" s="11" t="str">
        <x:v>FISCHER</x:v>
      </x:c>
      <x:c r="E224" s="11" t="str">
        <x:v>Self-Help / Women's Health</x:v>
      </x:c>
      <x:c r="F224" s="11" t="str">
        <x:v>2025-05-28</x:v>
      </x:c>
      <x:c r="G224" s="14" t="n">
        <x:v>18</x:v>
      </x:c>
      <x:c r="H224" s="11" t="str">
        <x:v>Paperback</x:v>
      </x:c>
      <x:c r="I224" s="11" t="str">
        <x:v>No</x:v>
      </x:c>
      <x:c r="J224" s="11"/>
      <x:c r="K224" s="11" t="str">
        <x:v>No</x:v>
      </x:c>
      <x:c r="L224" s="11" t="str">
        <x:v>https://www.fischerverlage.de/buch/mimi-lawrence-wenn-nicht-jetzt-wann-dann-9783758700262</x:v>
      </x:c>
      <x:c r="M224" s="11"/>
      <x:c r="N224" s="11" t="str">
        <x:v>Full verified</x:v>
      </x:c>
      <x:c r="O224" s="11" t="str">
        <x:v>Relevant chart-era edition used; broad genre standardized for analysis.</x:v>
      </x:c>
    </x:row>
    <x:row r="225">
      <x:c r="A225" s="11" t="str">
        <x:v>Fallen Princess</x:v>
      </x:c>
      <x:c r="B225" s="11" t="str">
        <x:v>Mona Kasten</x:v>
      </x:c>
      <x:c r="C225" s="11" t="str">
        <x:v>978-3-7363-2148-9</x:v>
      </x:c>
      <x:c r="D225" s="11" t="str">
        <x:v>LYX</x:v>
      </x:c>
      <x:c r="E225" s="11" t="str">
        <x:v>Fantasy / Romantasy</x:v>
      </x:c>
      <x:c r="F225" s="11" t="str">
        <x:v>2023</x:v>
      </x:c>
      <x:c r="G225" s="14" t="n">
        <x:v>20</x:v>
      </x:c>
      <x:c r="H225" s="11" t="str">
        <x:v>Hardcover</x:v>
      </x:c>
      <x:c r="I225" s="11" t="str">
        <x:v>Yes</x:v>
      </x:c>
      <x:c r="J225" s="11" t="n">
        <x:v>1</x:v>
      </x:c>
      <x:c r="K225" s="11" t="str">
        <x:v>No</x:v>
      </x:c>
      <x:c r="L225" s="11" t="str">
        <x:v>https://lyx-verlag.de/Buecher/Fantasy/Fallen-Princess/9783736321489</x:v>
      </x:c>
      <x:c r="M225" s="11" t="str">
        <x:v>Everfall Academy</x:v>
      </x:c>
      <x:c r="N225" s="11" t="str">
        <x:v>Full verified</x:v>
      </x:c>
      <x:c r="O225" s="11" t="str">
        <x:v>Genre is a standardized analytical category for this project.</x:v>
      </x:c>
    </x:row>
    <x:row r="226">
      <x:c r="A226" s="11" t="str">
        <x:v>Gentle Heart</x:v>
      </x:c>
      <x:c r="B226" s="11" t="str">
        <x:v>Mona Kasten</x:v>
      </x:c>
      <x:c r="C226" s="11" t="str">
        <x:v>978-3-7363-2700-9</x:v>
      </x:c>
      <x:c r="D226" s="11" t="str">
        <x:v>LYX</x:v>
      </x:c>
      <x:c r="E226" s="11" t="str">
        <x:v>Romance / New Adult</x:v>
      </x:c>
      <x:c r="F226" s="11" t="str">
        <x:v>2025-09-02</x:v>
      </x:c>
      <x:c r="G226" s="14" t="n">
        <x:v>22</x:v>
      </x:c>
      <x:c r="H226" s="11" t="str">
        <x:v>Hardcover</x:v>
      </x:c>
      <x:c r="I226" s="11" t="str">
        <x:v>No</x:v>
      </x:c>
      <x:c r="J226" s="11"/>
      <x:c r="K226" s="11" t="str">
        <x:v>No</x:v>
      </x:c>
      <x:c r="L226" s="11" t="str">
        <x:v>https://lyx-verlag.de/</x:v>
      </x:c>
      <x:c r="M226" s="11"/>
      <x:c r="N226" s="11" t="str">
        <x:v>Core verified</x:v>
      </x:c>
      <x:c r="O226" s="11" t="str">
        <x:v>Relevant chart-era edition used; broad genre standardized for analysis.</x:v>
      </x:c>
    </x:row>
    <x:row r="227">
      <x:c r="A227" s="11" t="str">
        <x:v>Save Me</x:v>
      </x:c>
      <x:c r="B227" s="11" t="str">
        <x:v>Mona Kasten</x:v>
      </x:c>
      <x:c r="C227" s="11" t="str">
        <x:v>978-3-7363-2300-1</x:v>
      </x:c>
      <x:c r="D227" s="11" t="str">
        <x:v>LYX</x:v>
      </x:c>
      <x:c r="E227" s="11" t="str">
        <x:v>Romance / New Adult</x:v>
      </x:c>
      <x:c r="F227" s="11" t="str">
        <x:v>2024-03-05</x:v>
      </x:c>
      <x:c r="G227" s="14" t="n">
        <x:v>22</x:v>
      </x:c>
      <x:c r="H227" s="11" t="str">
        <x:v>Hardcover Special Edition</x:v>
      </x:c>
      <x:c r="I227" s="11" t="str">
        <x:v>Yes</x:v>
      </x:c>
      <x:c r="J227" s="11" t="n">
        <x:v>1</x:v>
      </x:c>
      <x:c r="K227" s="11" t="str">
        <x:v>No</x:v>
      </x:c>
      <x:c r="L227" s="11" t="str">
        <x:v>https://www.schweitzer-online.de/buch/Kasten/Save-Me-Special-Edition/9783736323001/A69564560/</x:v>
      </x:c>
      <x:c r="M227" s="11" t="str">
        <x:v>Maxton Hall</x:v>
      </x:c>
      <x:c r="N227" s="11" t="str">
        <x:v>Full verified</x:v>
      </x:c>
      <x:c r="O227" s="11" t="str">
        <x:v>Relevant German edition used; broad genre standardized for analysis.</x:v>
      </x:c>
    </x:row>
    <x:row r="228">
      <x:c r="A228" s="11" t="str">
        <x:v>Lights Out</x:v>
      </x:c>
      <x:c r="B228" s="11" t="str">
        <x:v>Navessa Allen</x:v>
      </x:c>
      <x:c r="C228" s="11" t="str">
        <x:v>978-3-492-06731-7</x:v>
      </x:c>
      <x:c r="D228" s="11" t="str">
        <x:v>everlove / Piper</x:v>
      </x:c>
      <x:c r="E228" s="11" t="str">
        <x:v>Dark Romance / Romcom</x:v>
      </x:c>
      <x:c r="F228" s="11" t="str">
        <x:v>2025-10-02</x:v>
      </x:c>
      <x:c r="G228" s="14" t="n">
        <x:v>17</x:v>
      </x:c>
      <x:c r="H228" s="11" t="str">
        <x:v>Klappenbroschur</x:v>
      </x:c>
      <x:c r="I228" s="11" t="str">
        <x:v>Yes</x:v>
      </x:c>
      <x:c r="J228" s="11" t="n">
        <x:v>1</x:v>
      </x:c>
      <x:c r="K228" s="11" t="str">
        <x:v>No</x:v>
      </x:c>
      <x:c r="L228" s="11" t="str">
        <x:v>https://www.piper.de/buecher/lights-out-isbn-978-3-492-06731-7</x:v>
      </x:c>
      <x:c r="M228" s="11" t="str">
        <x:v>Lights Out</x:v>
      </x:c>
      <x:c r="N228" s="11" t="str">
        <x:v>Full verified</x:v>
      </x:c>
      <x:c r="O228" s="11" t="str">
        <x:v>Relevant chart-era edition used; broad genre standardized for analysis.</x:v>
      </x:c>
    </x:row>
    <x:row r="229">
      <x:c r="A229" s="11" t="str">
        <x:v>Rush In</x:v>
      </x:c>
      <x:c r="B229" s="11" t="str">
        <x:v>Navessa Allen</x:v>
      </x:c>
      <x:c r="C229" s="11" t="str">
        <x:v>978-3-492-06732-4</x:v>
      </x:c>
      <x:c r="D229" s="11" t="str">
        <x:v>everlove / Piper</x:v>
      </x:c>
      <x:c r="E229" s="11" t="str">
        <x:v>Dark Romance / RomCom</x:v>
      </x:c>
      <x:c r="F229" s="11" t="str">
        <x:v>2026-01-02</x:v>
      </x:c>
      <x:c r="G229" s="14" t="n">
        <x:v>17</x:v>
      </x:c>
      <x:c r="H229" s="11" t="str">
        <x:v>Klappenbroschur</x:v>
      </x:c>
      <x:c r="I229" s="11" t="str">
        <x:v>Yes</x:v>
      </x:c>
      <x:c r="J229" s="11" t="n">
        <x:v>2</x:v>
      </x:c>
      <x:c r="K229" s="11" t="str">
        <x:v>No</x:v>
      </x:c>
      <x:c r="L229" s="11" t="str">
        <x:v>https://www.piper.de/buecher/rush-in-isbn-978-3-492-06732-4</x:v>
      </x:c>
      <x:c r="M229" s="11" t="str">
        <x:v>Lights Out</x:v>
      </x:c>
      <x:c r="N229" s="11" t="str">
        <x:v>Full verified</x:v>
      </x:c>
      <x:c r="O229" s="11" t="str">
        <x:v>Relevant chart-era edition used; broad genre standardized for analysis.</x:v>
      </x:c>
    </x:row>
    <x:row r="230">
      <x:c r="A230" s="11" t="str">
        <x:v>When Shadows Darken the Sun</x:v>
      </x:c>
      <x:c r="B230" s="11" t="str">
        <x:v>Nina Schilling</x:v>
      </x:c>
      <x:c r="C230" s="11" t="str">
        <x:v>978-3-7363-2689-7</x:v>
      </x:c>
      <x:c r="D230" s="11" t="str">
        <x:v>LYX</x:v>
      </x:c>
      <x:c r="E230" s="11" t="str">
        <x:v>Fantasy / Romantasy</x:v>
      </x:c>
      <x:c r="F230" s="11" t="str">
        <x:v>2026-03-17</x:v>
      </x:c>
      <x:c r="G230" s="14" t="n">
        <x:v>24</x:v>
      </x:c>
      <x:c r="H230" s="11" t="str">
        <x:v>Hardcover</x:v>
      </x:c>
      <x:c r="I230" s="11" t="str">
        <x:v>Yes</x:v>
      </x:c>
      <x:c r="J230" s="11" t="n">
        <x:v>1</x:v>
      </x:c>
      <x:c r="K230" s="11" t="str">
        <x:v>No</x:v>
      </x:c>
      <x:c r="L230" s="11" t="str">
        <x:v>https://www.thalia.de/shop/home/artikeldetails/A1077212410</x:v>
      </x:c>
      <x:c r="M230" s="11" t="str">
        <x:v>The Day and Night Duet</x:v>
      </x:c>
      <x:c r="N230" s="11" t="str">
        <x:v>Full verified</x:v>
      </x:c>
      <x:c r="O230" s="11" t="str">
        <x:v>Relevant chart-era edition used; broad genre standardized for analysis.</x:v>
      </x:c>
    </x:row>
    <x:row r="231">
      <x:c r="A231" s="11" t="str">
        <x:v>Tale of the Heart Queen</x:v>
      </x:c>
      <x:c r="B231" s="11" t="str">
        <x:v>Nisha J. Tuli</x:v>
      </x:c>
      <x:c r="C231" s="11" t="str">
        <x:v>978-3-426-44928-8</x:v>
      </x:c>
      <x:c r="D231" s="11" t="str">
        <x:v>Knaur</x:v>
      </x:c>
      <x:c r="E231" s="11" t="str">
        <x:v>Fantasy / Romantasy</x:v>
      </x:c>
      <x:c r="F231" s="11" t="str">
        <x:v>2025-05-02</x:v>
      </x:c>
      <x:c r="G231" s="14" t="n">
        <x:v>18</x:v>
      </x:c>
      <x:c r="H231" s="11" t="str">
        <x:v>Paperback</x:v>
      </x:c>
      <x:c r="I231" s="11" t="str">
        <x:v>Yes</x:v>
      </x:c>
      <x:c r="J231" s="11" t="n">
        <x:v>4</x:v>
      </x:c>
      <x:c r="K231" s="11" t="str">
        <x:v>No</x:v>
      </x:c>
      <x:c r="L231" s="11" t="str">
        <x:v>https://www.droemer-knaur.de/buch/nisha-j-tuli-tale-of-the-heart-queen-9783426449288</x:v>
      </x:c>
      <x:c r="M231" s="11" t="str">
        <x:v>Artefakte von Ouranos</x:v>
      </x:c>
      <x:c r="N231" s="11" t="str">
        <x:v>Full verified</x:v>
      </x:c>
      <x:c r="O231" s="11" t="str">
        <x:v>Relevant chart-era edition used; broad genre standardized for analysis.</x:v>
      </x:c>
    </x:row>
    <x:row r="232">
      <x:c r="A232" s="11" t="str">
        <x:v>Trial of the Sun Queen</x:v>
      </x:c>
      <x:c r="B232" s="11" t="str">
        <x:v>Nisha J. Tuli</x:v>
      </x:c>
      <x:c r="C232" s="11" t="str">
        <x:v>978-3-426-44827-4</x:v>
      </x:c>
      <x:c r="D232" s="11" t="str">
        <x:v>Knaur</x:v>
      </x:c>
      <x:c r="E232" s="11" t="str">
        <x:v>Fantasy / Romantasy</x:v>
      </x:c>
      <x:c r="F232" s="11" t="str">
        <x:v>2024-02-19</x:v>
      </x:c>
      <x:c r="G232" s="14"/>
      <x:c r="H232" s="11" t="str">
        <x:v>Paperback</x:v>
      </x:c>
      <x:c r="I232" s="11" t="str">
        <x:v>Yes</x:v>
      </x:c>
      <x:c r="J232" s="11" t="n">
        <x:v>1</x:v>
      </x:c>
      <x:c r="K232" s="11" t="str">
        <x:v>No</x:v>
      </x:c>
      <x:c r="L232" s="11" t="str">
        <x:v>https://www.droemer-knaur.de/buch/nisha-j-tuli-trial-of-the-sun-queen-9783426448274</x:v>
      </x:c>
      <x:c r="M232" s="11" t="str">
        <x:v>Artefakte von Ouranos</x:v>
      </x:c>
      <x:c r="N232" s="11" t="str">
        <x:v>Full verified</x:v>
      </x:c>
      <x:c r="O232" s="11" t="str">
        <x:v>Relevant German edition used; broad genre standardized for analysis.</x:v>
      </x:c>
    </x:row>
    <x:row r="233">
      <x:c r="A233" s="11" t="str">
        <x:v>Abendlicht</x:v>
      </x:c>
      <x:c r="B233" s="11" t="str">
        <x:v>Nora Roberts</x:v>
      </x:c>
      <x:c r="C233" s="11" t="str">
        <x:v>978-3-453-42911-6</x:v>
      </x:c>
      <x:c r="D233" s="11" t="str">
        <x:v>Heyne</x:v>
      </x:c>
      <x:c r="E233" s="11" t="str">
        <x:v>Contemporary / Romance</x:v>
      </x:c>
      <x:c r="F233" s="11" t="str">
        <x:v>2026</x:v>
      </x:c>
      <x:c r="G233" s="14" t="n">
        <x:v>12</x:v>
      </x:c>
      <x:c r="H233" s="11" t="str">
        <x:v>Paperback</x:v>
      </x:c>
      <x:c r="I233" s="11" t="str">
        <x:v>Yes</x:v>
      </x:c>
      <x:c r="J233" s="11" t="n">
        <x:v>2</x:v>
      </x:c>
      <x:c r="K233" s="11" t="str">
        <x:v>No</x:v>
      </x:c>
      <x:c r="L233" s="11" t="str">
        <x:v>https://books.google.com/books?vid=ISBN9783453429116</x:v>
      </x:c>
      <x:c r="M233" s="11" t="str">
        <x:v>Die Frauen von Maine</x:v>
      </x:c>
      <x:c r="N233" s="11" t="str">
        <x:v>Core verified</x:v>
      </x:c>
      <x:c r="O233" s="11" t="str">
        <x:v>German ISBN, publisher and year verified; exact publication day was not retained.</x:v>
      </x:c>
    </x:row>
    <x:row r="234">
      <x:c r="A234" s="11" t="str">
        <x:v>Birthday Girl</x:v>
      </x:c>
      <x:c r="B234" s="11" t="str">
        <x:v>Penelope Douglas</x:v>
      </x:c>
      <x:c r="C234" s="11" t="str">
        <x:v>978-3-492-06413-2</x:v>
      </x:c>
      <x:c r="D234" s="11" t="str">
        <x:v>everlove / Piper</x:v>
      </x:c>
      <x:c r="E234" s="11" t="str">
        <x:v>Romance / Contemporary</x:v>
      </x:c>
      <x:c r="F234" s="11" t="str">
        <x:v>2023-08-31</x:v>
      </x:c>
      <x:c r="G234" s="14" t="n">
        <x:v>15</x:v>
      </x:c>
      <x:c r="H234" s="11" t="str">
        <x:v>Paperback</x:v>
      </x:c>
      <x:c r="I234" s="11" t="str">
        <x:v>No</x:v>
      </x:c>
      <x:c r="J234" s="11"/>
      <x:c r="K234" s="11" t="str">
        <x:v>No</x:v>
      </x:c>
      <x:c r="L234" s="11" t="str">
        <x:v>https://www.piper.de/buecher/birthday-girl-isbn-978-3-492-06413-2</x:v>
      </x:c>
      <x:c r="M234" s="11"/>
      <x:c r="N234" s="11" t="str">
        <x:v>Full verified</x:v>
      </x:c>
      <x:c r="O234" s="11" t="str">
        <x:v>Genre is a standardized analytical category for this project.</x:v>
      </x:c>
    </x:row>
    <x:row r="235">
      <x:c r="A235" s="11" t="str">
        <x:v>Corrupt - Dunkle Versuchung</x:v>
      </x:c>
      <x:c r="B235" s="11" t="str">
        <x:v>Penelope Douglas</x:v>
      </x:c>
      <x:c r="C235" s="11" t="str">
        <x:v>978-3-492-06531-3</x:v>
      </x:c>
      <x:c r="D235" s="11" t="str">
        <x:v>everlove / Piper</x:v>
      </x:c>
      <x:c r="E235" s="11" t="str">
        <x:v>Dark Romance</x:v>
      </x:c>
      <x:c r="F235" s="11" t="str">
        <x:v>2024-05-31</x:v>
      </x:c>
      <x:c r="G235" s="14" t="n">
        <x:v>15</x:v>
      </x:c>
      <x:c r="H235" s="11" t="str">
        <x:v>Paperback</x:v>
      </x:c>
      <x:c r="I235" s="11" t="str">
        <x:v>Yes</x:v>
      </x:c>
      <x:c r="J235" s="11" t="n">
        <x:v>1</x:v>
      </x:c>
      <x:c r="K235" s="11" t="str">
        <x:v>No</x:v>
      </x:c>
      <x:c r="L235" s="11" t="str">
        <x:v>https://www.piper.de/buecher/corrupt-dunkle-versuchung-isbn-978-3-492-06531-3</x:v>
      </x:c>
      <x:c r="M235" s="11" t="str">
        <x:v>Devil's Night</x:v>
      </x:c>
      <x:c r="N235" s="11" t="str">
        <x:v>Full verified</x:v>
      </x:c>
      <x:c r="O235" s="11" t="str">
        <x:v>Relevant German edition used; broad genre standardized for analysis.</x:v>
      </x:c>
    </x:row>
    <x:row r="236">
      <x:c r="A236" s="11" t="str">
        <x:v>Credence - Sie ist tabu, doch Liebe kennt keine Regeln</x:v>
      </x:c>
      <x:c r="B236" s="11" t="str">
        <x:v>Penelope Douglas</x:v>
      </x:c>
      <x:c r="C236" s="11" t="str">
        <x:v>978-3-492-06524-5</x:v>
      </x:c>
      <x:c r="D236" s="11" t="str">
        <x:v>everlove / Piper</x:v>
      </x:c>
      <x:c r="E236" s="11" t="str">
        <x:v>Dark Romance</x:v>
      </x:c>
      <x:c r="F236" s="11" t="str">
        <x:v>2025-01-30</x:v>
      </x:c>
      <x:c r="G236" s="14" t="n">
        <x:v>17</x:v>
      </x:c>
      <x:c r="H236" s="11" t="str">
        <x:v>Klappenbroschur</x:v>
      </x:c>
      <x:c r="I236" s="11" t="str">
        <x:v>No</x:v>
      </x:c>
      <x:c r="J236" s="11"/>
      <x:c r="K236" s="11" t="str">
        <x:v>No</x:v>
      </x:c>
      <x:c r="L236" s="11" t="str">
        <x:v>https://www.piper.de/buecher/credence-sie-ist-tabu-doch-liebe-kennt-keine-regeln-isbn-978-3-492-06524-5</x:v>
      </x:c>
      <x:c r="M236" s="11"/>
      <x:c r="N236" s="11" t="str">
        <x:v>Full verified</x:v>
      </x:c>
      <x:c r="O236" s="11" t="str">
        <x:v>Relevant chart-era edition used; broad genre standardized for analysis.</x:v>
      </x:c>
    </x:row>
    <x:row r="237">
      <x:c r="A237" s="11" t="str">
        <x:v>Kill Switch - Gefährliche Leidenschaft</x:v>
      </x:c>
      <x:c r="B237" s="11" t="str">
        <x:v>Penelope Douglas</x:v>
      </x:c>
      <x:c r="C237" s="11" t="str">
        <x:v>978-3-492-06533-7</x:v>
      </x:c>
      <x:c r="D237" s="11" t="str">
        <x:v>everlove / Piper</x:v>
      </x:c>
      <x:c r="E237" s="11" t="str">
        <x:v>Dark Romance</x:v>
      </x:c>
      <x:c r="F237" s="11" t="str">
        <x:v>2024-10-24</x:v>
      </x:c>
      <x:c r="G237" s="14" t="n">
        <x:v>18</x:v>
      </x:c>
      <x:c r="H237" s="11" t="str">
        <x:v>Paperback</x:v>
      </x:c>
      <x:c r="I237" s="11" t="str">
        <x:v>Yes</x:v>
      </x:c>
      <x:c r="J237" s="11" t="n">
        <x:v>3</x:v>
      </x:c>
      <x:c r="K237" s="11" t="str">
        <x:v>No</x:v>
      </x:c>
      <x:c r="L237" s="11" t="str">
        <x:v>https://www.piper.de/buecher/kill-switch-gefaehrliche-leidenschaft-isbn-978-3-492-06533-7</x:v>
      </x:c>
      <x:c r="M237" s="11" t="str">
        <x:v>Devil's Night</x:v>
      </x:c>
      <x:c r="N237" s="11" t="str">
        <x:v>Full verified</x:v>
      </x:c>
      <x:c r="O237" s="11" t="str">
        <x:v>Relevant German edition used; broad genre standardized for analysis.</x:v>
      </x:c>
    </x:row>
    <x:row r="238">
      <x:c r="A238" s="11" t="str">
        <x:v>Nightfall - Geheime Begierde</x:v>
      </x:c>
      <x:c r="B238" s="11" t="str">
        <x:v>Penelope Douglas</x:v>
      </x:c>
      <x:c r="C238" s="11" t="str">
        <x:v>978-3-492-06664-8</x:v>
      </x:c>
      <x:c r="D238" s="11" t="str">
        <x:v>everlove / Piper</x:v>
      </x:c>
      <x:c r="E238" s="11" t="str">
        <x:v>Dark Romance</x:v>
      </x:c>
      <x:c r="F238" s="11" t="str">
        <x:v>2025-04-04</x:v>
      </x:c>
      <x:c r="G238" s="14" t="n">
        <x:v>18</x:v>
      </x:c>
      <x:c r="H238" s="11" t="str">
        <x:v>Klappenbroschur</x:v>
      </x:c>
      <x:c r="I238" s="11" t="str">
        <x:v>Yes</x:v>
      </x:c>
      <x:c r="J238" s="11" t="n">
        <x:v>4</x:v>
      </x:c>
      <x:c r="K238" s="11" t="str">
        <x:v>No</x:v>
      </x:c>
      <x:c r="L238" s="11" t="str">
        <x:v>https://www.piper.de/buecher/nightfall-geheime-begierde-isbn-978-3-492-06664-8</x:v>
      </x:c>
      <x:c r="M238" s="11" t="str">
        <x:v>Devil's Night</x:v>
      </x:c>
      <x:c r="N238" s="11" t="str">
        <x:v>Full verified</x:v>
      </x:c>
      <x:c r="O238" s="11" t="str">
        <x:v>Relevant chart-era edition used; broad genre standardized for analysis.</x:v>
      </x:c>
    </x:row>
    <x:row r="239">
      <x:c r="A239" s="11" t="str">
        <x:v>Das Buch, von dem du dir wünschst, deine Eltern hätten es gelesen</x:v>
      </x:c>
      <x:c r="B239" s="11" t="str">
        <x:v>Philippa Perry</x:v>
      </x:c>
      <x:c r="C239" s="11" t="str">
        <x:v>978-3-550-20074-8</x:v>
      </x:c>
      <x:c r="D239" s="11" t="str">
        <x:v>Ullstein</x:v>
      </x:c>
      <x:c r="E239" s="11" t="str">
        <x:v>Self-Help / Psychology</x:v>
      </x:c>
      <x:c r="F239" s="11" t="str">
        <x:v>2020-04-14</x:v>
      </x:c>
      <x:c r="G239" s="14" t="n">
        <x:v>22.99</x:v>
      </x:c>
      <x:c r="H239" s="11" t="str">
        <x:v>Hardcover</x:v>
      </x:c>
      <x:c r="I239" s="11" t="str">
        <x:v>No</x:v>
      </x:c>
      <x:c r="J239" s="11"/>
      <x:c r="K239" s="11" t="str">
        <x:v>No</x:v>
      </x:c>
      <x:c r="L239" s="11" t="str">
        <x:v>https://www.ullstein.de/werke/das-buch-von-dem-du-dir-wuenschst-deine-eltern-haetten-es-gelesen/hardcover/9783550200748</x:v>
      </x:c>
      <x:c r="M239" s="11"/>
      <x:c r="N239" s="11" t="str">
        <x:v>Full verified</x:v>
      </x:c>
      <x:c r="O239" s="11" t="str">
        <x:v>Genre is a standardized analytical category for this project.</x:v>
      </x:c>
    </x:row>
    <x:row r="240">
      <x:c r="A240" s="11" t="str">
        <x:v>Heated Rivalry</x:v>
      </x:c>
      <x:c r="B240" s="11" t="str">
        <x:v>Rachel Reid</x:v>
      </x:c>
      <x:c r="C240" s="11" t="str">
        <x:v>978-3-98585-199-7</x:v>
      </x:c>
      <x:c r="D240" s="11" t="str">
        <x:v>adrian &amp; wimmelbuchverlag</x:v>
      </x:c>
      <x:c r="E240" s="11" t="str">
        <x:v>LGBTQ+ / Sports Romance</x:v>
      </x:c>
      <x:c r="F240" s="11" t="str">
        <x:v>2026-03-20</x:v>
      </x:c>
      <x:c r="G240" s="14" t="n">
        <x:v>20</x:v>
      </x:c>
      <x:c r="H240" s="11" t="str">
        <x:v>Hardcover</x:v>
      </x:c>
      <x:c r="I240" s="11" t="str">
        <x:v>Yes</x:v>
      </x:c>
      <x:c r="J240" s="11" t="n">
        <x:v>2</x:v>
      </x:c>
      <x:c r="K240" s="11" t="str">
        <x:v>No</x:v>
      </x:c>
      <x:c r="L240" s="11" t="str">
        <x:v>https://wimmelbuchverlag.de/wp-content/uploads/2026/03/Katalog_Fruehjahr_2026_WEB_24032026.pdf</x:v>
      </x:c>
      <x:c r="M240" s="11" t="str">
        <x:v>Game Changers</x:v>
      </x:c>
      <x:c r="N240" s="11" t="str">
        <x:v>Edition ambiguous</x:v>
      </x:c>
      <x:c r="O240" s="11" t="str">
        <x:v>German print edition released 20.03.2026; February 2026 chart appearance likely reflects an English/import edition.</x:v>
      </x:c>
    </x:row>
    <x:row r="241">
      <x:c r="A241" s="11" t="str">
        <x:v>The Long Game</x:v>
      </x:c>
      <x:c r="B241" s="11" t="str">
        <x:v>Rachel Reid</x:v>
      </x:c>
      <x:c r="C241" s="11" t="str">
        <x:v>978-3-98585-405-9</x:v>
      </x:c>
      <x:c r="D241" s="11" t="str">
        <x:v>adrian &amp; wimmelbuchverlag</x:v>
      </x:c>
      <x:c r="E241" s="11" t="str">
        <x:v>LGBTQ+ / Sports Romance</x:v>
      </x:c>
      <x:c r="F241" s="11" t="str">
        <x:v>2026-05-29</x:v>
      </x:c>
      <x:c r="G241" s="14" t="n">
        <x:v>20</x:v>
      </x:c>
      <x:c r="H241" s="11" t="str">
        <x:v>Hardcover</x:v>
      </x:c>
      <x:c r="I241" s="11" t="str">
        <x:v>Yes</x:v>
      </x:c>
      <x:c r="J241" s="11" t="n">
        <x:v>6</x:v>
      </x:c>
      <x:c r="K241" s="11" t="str">
        <x:v>No</x:v>
      </x:c>
      <x:c r="L241" s="11" t="str">
        <x:v>https://wimmelbuchverlag.de/wp-content/uploads/2026/03/Katalog_Fruehjahr_2026_WEB_24032026.pdf</x:v>
      </x:c>
      <x:c r="M241" s="11" t="str">
        <x:v>Game Changers</x:v>
      </x:c>
      <x:c r="N241" s="11" t="str">
        <x:v>Full verified</x:v>
      </x:c>
      <x:c r="O241" s="11" t="str">
        <x:v>Relevant chart-era edition used; broad genre standardized for analysis.</x:v>
      </x:c>
    </x:row>
    <x:row r="242">
      <x:c r="A242" s="11" t="str">
        <x:v>The Darkest Gold - Die Rebellin</x:v>
      </x:c>
      <x:c r="B242" s="11" t="str">
        <x:v>Raven Kennedy</x:v>
      </x:c>
      <x:c r="C242" s="11" t="str">
        <x:v>978-3-499-01154-2</x:v>
      </x:c>
      <x:c r="D242" s="11" t="str">
        <x:v>KYSS / Rowohlt</x:v>
      </x:c>
      <x:c r="E242" s="11" t="str">
        <x:v>Fantasy / Romantasy</x:v>
      </x:c>
      <x:c r="F242" s="11" t="str">
        <x:v>2024-04-16</x:v>
      </x:c>
      <x:c r="G242" s="14" t="n">
        <x:v>20</x:v>
      </x:c>
      <x:c r="H242" s="11" t="str">
        <x:v>Paperback</x:v>
      </x:c>
      <x:c r="I242" s="11" t="str">
        <x:v>Yes</x:v>
      </x:c>
      <x:c r="J242" s="11" t="n">
        <x:v>5</x:v>
      </x:c>
      <x:c r="K242" s="11" t="str">
        <x:v>No</x:v>
      </x:c>
      <x:c r="L242" s="11" t="str">
        <x:v>https://www.rowohlt.de/buch/raven-kennedy-the-darkest-gold-die-rebellin-9783499011542</x:v>
      </x:c>
      <x:c r="M242" s="11" t="str">
        <x:v>The Darkest Gold</x:v>
      </x:c>
      <x:c r="N242" s="11" t="str">
        <x:v>Full verified</x:v>
      </x:c>
      <x:c r="O242" s="11" t="str">
        <x:v>Relevant German edition used; broad genre standardized for analysis.</x:v>
      </x:c>
    </x:row>
    <x:row r="243">
      <x:c r="A243" s="11" t="str">
        <x:v>Divine Rivals</x:v>
      </x:c>
      <x:c r="B243" s="11" t="str">
        <x:v>Rebecca Ross</x:v>
      </x:c>
      <x:c r="C243" s="11" t="str">
        <x:v>978-3-7363-2292-9</x:v>
      </x:c>
      <x:c r="D243" s="11" t="str">
        <x:v>LYX</x:v>
      </x:c>
      <x:c r="E243" s="11" t="str">
        <x:v>Fantasy / Romantasy</x:v>
      </x:c>
      <x:c r="F243" s="11" t="str">
        <x:v>2024-03-19</x:v>
      </x:c>
      <x:c r="G243" s="14"/>
      <x:c r="H243" s="11" t="str">
        <x:v>Hardcover</x:v>
      </x:c>
      <x:c r="I243" s="11" t="str">
        <x:v>Yes</x:v>
      </x:c>
      <x:c r="J243" s="11" t="n">
        <x:v>1</x:v>
      </x:c>
      <x:c r="K243" s="11" t="str">
        <x:v>No</x:v>
      </x:c>
      <x:c r="L243" s="11" t="str">
        <x:v>https://d-nb.info/1306465265/34</x:v>
      </x:c>
      <x:c r="M243" s="11" t="str">
        <x:v>Letters of Enchantment</x:v>
      </x:c>
      <x:c r="N243" s="11" t="str">
        <x:v>Full verified</x:v>
      </x:c>
      <x:c r="O243" s="11" t="str">
        <x:v>Relevant German edition used; broad genre standardized for analysis.</x:v>
      </x:c>
    </x:row>
    <x:row r="244">
      <x:c r="A244" s="11" t="str">
        <x:v>Alles, was ich geben kann - The Last Letter</x:v>
      </x:c>
      <x:c r="B244" s="11" t="str">
        <x:v>Rebecca Yarros</x:v>
      </x:c>
      <x:c r="C244" s="11" t="str">
        <x:v>978-3-423-28429-5</x:v>
      </x:c>
      <x:c r="D244" s="11" t="str">
        <x:v>dtv</x:v>
      </x:c>
      <x:c r="E244" s="11" t="str">
        <x:v>Romance / Contemporary</x:v>
      </x:c>
      <x:c r="F244" s="11" t="str">
        <x:v>2024-08-15</x:v>
      </x:c>
      <x:c r="G244" s="14" t="n">
        <x:v>17</x:v>
      </x:c>
      <x:c r="H244" s="11" t="str">
        <x:v>Paperback</x:v>
      </x:c>
      <x:c r="I244" s="11" t="str">
        <x:v>No</x:v>
      </x:c>
      <x:c r="J244" s="11"/>
      <x:c r="K244" s="11" t="str">
        <x:v>No</x:v>
      </x:c>
      <x:c r="L244" s="11" t="str">
        <x:v>https://www.dtv.de/buch/alles-was-ich-geben-kann-the-last-letter</x:v>
      </x:c>
      <x:c r="M244" s="11"/>
      <x:c r="N244" s="11" t="str">
        <x:v>Full verified</x:v>
      </x:c>
      <x:c r="O244" s="11" t="str">
        <x:v>Relevant German edition used; broad genre standardized for analysis.</x:v>
      </x:c>
    </x:row>
    <x:row r="245">
      <x:c r="A245" s="11" t="str">
        <x:v>Fourth Wing - Flammengeküsst</x:v>
      </x:c>
      <x:c r="B245" s="11" t="str">
        <x:v>Rebecca Yarros</x:v>
      </x:c>
      <x:c r="C245" s="11" t="str">
        <x:v>978-3-423-28340-3</x:v>
      </x:c>
      <x:c r="D245" s="11" t="str">
        <x:v>dtv</x:v>
      </x:c>
      <x:c r="E245" s="11" t="str">
        <x:v>Fantasy / Romantasy</x:v>
      </x:c>
      <x:c r="F245" s="11" t="str">
        <x:v>2023-06-15</x:v>
      </x:c>
      <x:c r="G245" s="14"/>
      <x:c r="H245" s="11" t="str">
        <x:v>Hardcover</x:v>
      </x:c>
      <x:c r="I245" s="11" t="str">
        <x:v>Yes</x:v>
      </x:c>
      <x:c r="J245" s="11" t="n">
        <x:v>1</x:v>
      </x:c>
      <x:c r="K245" s="11" t="str">
        <x:v>No</x:v>
      </x:c>
      <x:c r="L245" s="11" t="str">
        <x:v>https://de.wikipedia.org/wiki/Fourth_Wing_%E2%80%93_Flammengek%C3%BCsst</x:v>
      </x:c>
      <x:c r="M245" s="11" t="str">
        <x:v>Flammengeküsst / Empyrean</x:v>
      </x:c>
      <x:c r="N245" s="11" t="str">
        <x:v>Full verified</x:v>
      </x:c>
      <x:c r="O245" s="11" t="str">
        <x:v>Genre is a standardized analytical category for this project.</x:v>
      </x:c>
    </x:row>
    <x:row r="246">
      <x:c r="A246" s="11" t="str">
        <x:v>Iron Flame - Flammengeküsst</x:v>
      </x:c>
      <x:c r="B246" s="11" t="str">
        <x:v>Rebecca Yarros</x:v>
      </x:c>
      <x:c r="C246" s="11" t="str">
        <x:v>978-3-423-28393-9</x:v>
      </x:c>
      <x:c r="D246" s="11" t="str">
        <x:v>dtv</x:v>
      </x:c>
      <x:c r="E246" s="11" t="str">
        <x:v>Fantasy / Romantasy</x:v>
      </x:c>
      <x:c r="F246" s="11" t="str">
        <x:v>2023-12-01</x:v>
      </x:c>
      <x:c r="G246" s="14" t="n">
        <x:v>28</x:v>
      </x:c>
      <x:c r="H246" s="11" t="str">
        <x:v>Hardcover</x:v>
      </x:c>
      <x:c r="I246" s="11" t="str">
        <x:v>Yes</x:v>
      </x:c>
      <x:c r="J246" s="11" t="n">
        <x:v>2</x:v>
      </x:c>
      <x:c r="K246" s="11"/>
      <x:c r="L246" s="11" t="str">
        <x:v>https://www.thalia.de/shop/home/artikeldetails/A1069247624</x:v>
      </x:c>
      <x:c r="M246" s="11" t="str">
        <x:v>Flammengeküsst / Empyrean</x:v>
      </x:c>
      <x:c r="N246" s="11" t="str">
        <x:v>Full verified</x:v>
      </x:c>
      <x:c r="O246" s="11" t="str">
        <x:v>Genre is a standardized analytical category for this project.</x:v>
      </x:c>
    </x:row>
    <x:row r="247">
      <x:c r="A247" s="11" t="str">
        <x:v>Onyx Storm - Flammengeküsst</x:v>
      </x:c>
      <x:c r="B247" s="11" t="str">
        <x:v>Rebecca Yarros</x:v>
      </x:c>
      <x:c r="C247" s="11" t="str">
        <x:v>978-3-423-28450-9</x:v>
      </x:c>
      <x:c r="D247" s="11" t="str">
        <x:v>dtv</x:v>
      </x:c>
      <x:c r="E247" s="11" t="str">
        <x:v>Fantasy / Romantasy</x:v>
      </x:c>
      <x:c r="F247" s="11" t="str">
        <x:v>2025-01-21</x:v>
      </x:c>
      <x:c r="G247" s="14" t="n">
        <x:v>28</x:v>
      </x:c>
      <x:c r="H247" s="11" t="str">
        <x:v>Hardcover</x:v>
      </x:c>
      <x:c r="I247" s="11" t="str">
        <x:v>Yes</x:v>
      </x:c>
      <x:c r="J247" s="11" t="n">
        <x:v>3</x:v>
      </x:c>
      <x:c r="K247" s="11" t="str">
        <x:v>No</x:v>
      </x:c>
      <x:c r="L247" s="11" t="str">
        <x:v>https://www.dtv.de/buch/onyx-storm-flammengekuesst-28450</x:v>
      </x:c>
      <x:c r="M247" s="11" t="str">
        <x:v>Flammengeküsst / Empyrean</x:v>
      </x:c>
      <x:c r="N247" s="11" t="str">
        <x:v>Full verified</x:v>
      </x:c>
      <x:c r="O247" s="11" t="str">
        <x:v>Relevant chart-era edition used; broad genre standardized for analysis.</x:v>
      </x:c>
    </x:row>
    <x:row r="248">
      <x:c r="A248" s="11" t="str">
        <x:v>God of Fury - Verhängnisvolle Liebe</x:v>
      </x:c>
      <x:c r="B248" s="11" t="str">
        <x:v>Rina Kent</x:v>
      </x:c>
      <x:c r="C248" s="11" t="str">
        <x:v>978-3-98718-423-9</x:v>
      </x:c>
      <x:c r="D248" s="11" t="str">
        <x:v>VAJONA</x:v>
      </x:c>
      <x:c r="E248" s="11" t="str">
        <x:v>Dark Romance</x:v>
      </x:c>
      <x:c r="F248" s="11" t="str">
        <x:v>2025-10-08</x:v>
      </x:c>
      <x:c r="G248" s="14" t="n">
        <x:v>19</x:v>
      </x:c>
      <x:c r="H248" s="11" t="str">
        <x:v>Paperback</x:v>
      </x:c>
      <x:c r="I248" s="11" t="str">
        <x:v>Yes</x:v>
      </x:c>
      <x:c r="J248" s="11" t="n">
        <x:v>5</x:v>
      </x:c>
      <x:c r="K248" s="11" t="str">
        <x:v>No</x:v>
      </x:c>
      <x:c r="L248" s="11" t="str">
        <x:v>https://www.thalia.de/shop/home/artikeldetails/A1074571695</x:v>
      </x:c>
      <x:c r="M248" s="11" t="str">
        <x:v>Legacy of Gods</x:v>
      </x:c>
      <x:c r="N248" s="11" t="str">
        <x:v>Full verified</x:v>
      </x:c>
      <x:c r="O248" s="11" t="str">
        <x:v>Relevant chart-era edition used; broad genre standardized for analysis.</x:v>
      </x:c>
    </x:row>
    <x:row r="249">
      <x:c r="A249" s="11" t="str">
        <x:v>God of Pain - Verbotene Liebe</x:v>
      </x:c>
      <x:c r="B249" s="11" t="str">
        <x:v>Rina Kent</x:v>
      </x:c>
      <x:c r="C249" s="11" t="str">
        <x:v>978-3-98718-367-6</x:v>
      </x:c>
      <x:c r="D249" s="11" t="str">
        <x:v>VAJONA</x:v>
      </x:c>
      <x:c r="E249" s="11" t="str">
        <x:v>Dark Romance</x:v>
      </x:c>
      <x:c r="F249" s="11" t="str">
        <x:v>2024-11-27</x:v>
      </x:c>
      <x:c r="G249" s="14"/>
      <x:c r="H249" s="11" t="str">
        <x:v>Klappenbroschur</x:v>
      </x:c>
      <x:c r="I249" s="11" t="str">
        <x:v>Yes</x:v>
      </x:c>
      <x:c r="J249" s="11" t="n">
        <x:v>2</x:v>
      </x:c>
      <x:c r="K249" s="11" t="str">
        <x:v>No</x:v>
      </x:c>
      <x:c r="L249" s="11" t="str">
        <x:v>https://vajona.de/products/god-of-pain-verbotene-liebe</x:v>
      </x:c>
      <x:c r="M249" s="11" t="str">
        <x:v>Legacy of Gods</x:v>
      </x:c>
      <x:c r="N249" s="11" t="str">
        <x:v>Full verified</x:v>
      </x:c>
      <x:c r="O249" s="11" t="str">
        <x:v>Relevant German edition used; broad genre standardized for analysis.</x:v>
      </x:c>
    </x:row>
    <x:row r="250">
      <x:c r="A250" s="11" t="str">
        <x:v>God of Wrath - Besessene Liebe</x:v>
      </x:c>
      <x:c r="B250" s="11" t="str">
        <x:v>Rina Kent</x:v>
      </x:c>
      <x:c r="C250" s="11" t="str">
        <x:v>978-3-98718-365-2</x:v>
      </x:c>
      <x:c r="D250" s="11" t="str">
        <x:v>VAJONA</x:v>
      </x:c>
      <x:c r="E250" s="11" t="str">
        <x:v>Dark Romance</x:v>
      </x:c>
      <x:c r="F250" s="11" t="str">
        <x:v>2024</x:v>
      </x:c>
      <x:c r="G250" s="14"/>
      <x:c r="H250" s="11" t="str">
        <x:v>Paperback</x:v>
      </x:c>
      <x:c r="I250" s="11" t="str">
        <x:v>Yes</x:v>
      </x:c>
      <x:c r="J250" s="11" t="n">
        <x:v>3</x:v>
      </x:c>
      <x:c r="K250" s="11" t="str">
        <x:v>No</x:v>
      </x:c>
      <x:c r="L250" s="11" t="str">
        <x:v>https://books.google.com/books/about/God_of_Wrath_Besessene_Liebe.html?id=nFME0QEACAAJ</x:v>
      </x:c>
      <x:c r="M250" s="11" t="str">
        <x:v>Legacy of Gods</x:v>
      </x:c>
      <x:c r="N250" s="11" t="str">
        <x:v>Core verified</x:v>
      </x:c>
      <x:c r="O250" s="11" t="str">
        <x:v>German print ISBN/publisher verified; only year retained because exact day was not consistently surfaced.</x:v>
      </x:c>
    </x:row>
    <x:row r="251">
      <x:c r="A251" s="11" t="str">
        <x:v>Heart of My Monster (Monsters Trilogy)</x:v>
      </x:c>
      <x:c r="B251" s="11" t="str">
        <x:v>Rina Kent</x:v>
      </x:c>
      <x:c r="C251" s="11" t="str">
        <x:v>978-3-98718-558-8</x:v>
      </x:c>
      <x:c r="D251" s="11" t="str">
        <x:v>VAJONA</x:v>
      </x:c>
      <x:c r="E251" s="11" t="str">
        <x:v>Dark Romance</x:v>
      </x:c>
      <x:c r="F251" s="11" t="str">
        <x:v>2026-04-15</x:v>
      </x:c>
      <x:c r="G251" s="14" t="n">
        <x:v>19</x:v>
      </x:c>
      <x:c r="H251" s="11" t="str">
        <x:v>Klappenbroschur</x:v>
      </x:c>
      <x:c r="I251" s="11" t="str">
        <x:v>Yes</x:v>
      </x:c>
      <x:c r="J251" s="11" t="n">
        <x:v>3</x:v>
      </x:c>
      <x:c r="K251" s="11" t="str">
        <x:v>No</x:v>
      </x:c>
      <x:c r="L251" s="11" t="str">
        <x:v>https://vajona.de/products/heart-of-my-monster-monsters-band-3</x:v>
      </x:c>
      <x:c r="M251" s="11" t="str">
        <x:v>Monsters</x:v>
      </x:c>
      <x:c r="N251" s="11" t="str">
        <x:v>Full verified</x:v>
      </x:c>
      <x:c r="O251" s="11" t="str">
        <x:v>Relevant chart-era edition used; broad genre standardized for analysis.</x:v>
      </x:c>
    </x:row>
    <x:row r="252">
      <x:c r="A252" s="11" t="str">
        <x:v>Kiss The Villain</x:v>
      </x:c>
      <x:c r="B252" s="11" t="str">
        <x:v>Rina Kent</x:v>
      </x:c>
      <x:c r="C252" s="11" t="str">
        <x:v>978-3-98718-641-7</x:v>
      </x:c>
      <x:c r="D252" s="11" t="str">
        <x:v>VAJONA</x:v>
      </x:c>
      <x:c r="E252" s="11" t="str">
        <x:v>Dark Romance</x:v>
      </x:c>
      <x:c r="F252" s="11" t="str">
        <x:v>2026-05-13</x:v>
      </x:c>
      <x:c r="G252" s="14" t="n">
        <x:v>20</x:v>
      </x:c>
      <x:c r="H252" s="11" t="str">
        <x:v>Klappenbroschur</x:v>
      </x:c>
      <x:c r="I252" s="11" t="str">
        <x:v>Yes</x:v>
      </x:c>
      <x:c r="J252" s="11" t="n">
        <x:v>1</x:v>
      </x:c>
      <x:c r="K252" s="11" t="str">
        <x:v>No</x:v>
      </x:c>
      <x:c r="L252" s="11" t="str">
        <x:v>https://vajona.de/products/blood-of-my-monster-monsters-band-1-kopie</x:v>
      </x:c>
      <x:c r="M252" s="11" t="str">
        <x:v>Villains</x:v>
      </x:c>
      <x:c r="N252" s="11" t="str">
        <x:v>Full verified</x:v>
      </x:c>
      <x:c r="O252" s="11" t="str">
        <x:v>Relevant chart-era edition used; broad genre standardized for analysis.</x:v>
      </x:c>
    </x:row>
    <x:row r="253">
      <x:c r="A253" s="11" t="str">
        <x:v>Power: Die 48 Gesetze der Macht</x:v>
      </x:c>
      <x:c r="B253" s="11" t="str">
        <x:v>Robert Greene</x:v>
      </x:c>
      <x:c r="C253" s="11" t="str">
        <x:v>978-3-446-43485-1</x:v>
      </x:c>
      <x:c r="D253" s="11" t="str">
        <x:v>Carl Hanser</x:v>
      </x:c>
      <x:c r="E253" s="11" t="str">
        <x:v>Self-Help / Strategy</x:v>
      </x:c>
      <x:c r="F253" s="11" t="str">
        <x:v>2013-01-28</x:v>
      </x:c>
      <x:c r="G253" s="14" t="n">
        <x:v>22</x:v>
      </x:c>
      <x:c r="H253" s="11" t="str">
        <x:v>Hardcover</x:v>
      </x:c>
      <x:c r="I253" s="11" t="str">
        <x:v>No</x:v>
      </x:c>
      <x:c r="J253" s="11"/>
      <x:c r="K253" s="11" t="str">
        <x:v>No</x:v>
      </x:c>
      <x:c r="L253" s="11" t="str">
        <x:v>https://www.thalia.de/shop/home/artikeldetails/A1026981250</x:v>
      </x:c>
      <x:c r="M253" s="11"/>
      <x:c r="N253" s="11" t="str">
        <x:v>Full verified</x:v>
      </x:c>
      <x:c r="O253" s="11" t="str">
        <x:v>Genre is a standardized analytical category for this project.</x:v>
      </x:c>
    </x:row>
    <x:row r="254">
      <x:c r="A254" s="11" t="str">
        <x:v>Love is like a Thunderbolt</x:v>
      </x:c>
      <x:c r="B254" s="11" t="str">
        <x:v>Ronja Madeleine</x:v>
      </x:c>
      <x:c r="C254" s="11" t="str">
        <x:v>978-3-453-44352-5</x:v>
      </x:c>
      <x:c r="D254" s="11" t="str">
        <x:v>Heyne</x:v>
      </x:c>
      <x:c r="E254" s="11" t="str">
        <x:v>Romance / New Adult</x:v>
      </x:c>
      <x:c r="F254" s="11" t="str">
        <x:v>2026-02-01</x:v>
      </x:c>
      <x:c r="G254" s="14" t="n">
        <x:v>17</x:v>
      </x:c>
      <x:c r="H254" s="11" t="str">
        <x:v>Paperback</x:v>
      </x:c>
      <x:c r="I254" s="11" t="str">
        <x:v>Yes</x:v>
      </x:c>
      <x:c r="J254" s="11" t="n">
        <x:v>1</x:v>
      </x:c>
      <x:c r="K254" s="11" t="str">
        <x:v>No</x:v>
      </x:c>
      <x:c r="L254" s="11" t="str">
        <x:v>https://books.google.com/books?vid=ISBN9783453443525</x:v>
      </x:c>
      <x:c r="M254" s="11" t="str">
        <x:v>Cheering for Love</x:v>
      </x:c>
      <x:c r="N254" s="11" t="str">
        <x:v>Core verified</x:v>
      </x:c>
      <x:c r="O254" s="11" t="str">
        <x:v>German ISBN/publisher and 2026 chart-era publication period verified; date retained at source month/day precision.</x:v>
      </x:c>
    </x:row>
    <x:row r="255">
      <x:c r="A255" s="11" t="str">
        <x:v>Love is like a Tsunami</x:v>
      </x:c>
      <x:c r="B255" s="11" t="str">
        <x:v>Ronja Madeleine</x:v>
      </x:c>
      <x:c r="C255" s="11" t="str">
        <x:v>978-3-453-44353-2</x:v>
      </x:c>
      <x:c r="D255" s="11" t="str">
        <x:v>Heyne</x:v>
      </x:c>
      <x:c r="E255" s="11" t="str">
        <x:v>Romance / New Adult</x:v>
      </x:c>
      <x:c r="F255" s="11" t="str">
        <x:v>2026-07-15</x:v>
      </x:c>
      <x:c r="G255" s="14" t="n">
        <x:v>17</x:v>
      </x:c>
      <x:c r="H255" s="11" t="str">
        <x:v>Paperback</x:v>
      </x:c>
      <x:c r="I255" s="11" t="str">
        <x:v>Yes</x:v>
      </x:c>
      <x:c r="J255" s="11" t="n">
        <x:v>2</x:v>
      </x:c>
      <x:c r="K255" s="11" t="str">
        <x:v>No</x:v>
      </x:c>
      <x:c r="L255" s="11" t="str">
        <x:v>https://www.thalia.de/shop/home/artikeldetails/A1077078384</x:v>
      </x:c>
      <x:c r="M255" s="11" t="str">
        <x:v>Cheering for Love</x:v>
      </x:c>
      <x:c r="N255" s="11" t="str">
        <x:v>Full verified</x:v>
      </x:c>
      <x:c r="O255" s="11" t="str">
        <x:v>Relevant chart-era edition used; broad genre standardized for analysis.</x:v>
      </x:c>
    </x:row>
    <x:row r="256">
      <x:c r="A256" s="11" t="str">
        <x:v>Du musst mich vergessen</x:v>
      </x:c>
      <x:c r="B256" s="11" t="str">
        <x:v>Rosie Walsh</x:v>
      </x:c>
      <x:c r="C256" s="11" t="str">
        <x:v>978-3-442-49706-5</x:v>
      </x:c>
      <x:c r="D256" s="11" t="str">
        <x:v>Goldmann</x:v>
      </x:c>
      <x:c r="E256" s="11" t="str">
        <x:v>Romance / Contemporary</x:v>
      </x:c>
      <x:c r="F256" s="11" t="str">
        <x:v>2026-04-22</x:v>
      </x:c>
      <x:c r="G256" s="14" t="n">
        <x:v>16</x:v>
      </x:c>
      <x:c r="H256" s="11" t="str">
        <x:v>Paperback</x:v>
      </x:c>
      <x:c r="I256" s="11" t="str">
        <x:v>No</x:v>
      </x:c>
      <x:c r="J256" s="11"/>
      <x:c r="K256" s="11" t="str">
        <x:v>No</x:v>
      </x:c>
      <x:c r="L256" s="11" t="str">
        <x:v>https://www.thalia.de/shop/home/artikeldetails/A1077078193</x:v>
      </x:c>
      <x:c r="M256" s="11"/>
      <x:c r="N256" s="11" t="str">
        <x:v>Full verified</x:v>
      </x:c>
      <x:c r="O256" s="11" t="str">
        <x:v>Relevant chart-era edition used; broad genre standardized for analysis.</x:v>
      </x:c>
    </x:row>
    <x:row r="257">
      <x:c r="A257" s="11" t="str">
        <x:v>Vengeance (Academy of Dream Analysis 1)</x:v>
      </x:c>
      <x:c r="B257" s="11" t="str">
        <x:v>Ruby Braun</x:v>
      </x:c>
      <x:c r="C257" s="11" t="str">
        <x:v>978-3-95818-796-2</x:v>
      </x:c>
      <x:c r="D257" s="11" t="str">
        <x:v>Forever / Ullstein</x:v>
      </x:c>
      <x:c r="E257" s="11" t="str">
        <x:v>Fantasy / Romantasy</x:v>
      </x:c>
      <x:c r="F257" s="11" t="str">
        <x:v>2024-03-27</x:v>
      </x:c>
      <x:c r="G257" s="14" t="n">
        <x:v>15.99</x:v>
      </x:c>
      <x:c r="H257" s="11" t="str">
        <x:v>Paperback</x:v>
      </x:c>
      <x:c r="I257" s="11" t="str">
        <x:v>Yes</x:v>
      </x:c>
      <x:c r="J257" s="11" t="n">
        <x:v>1</x:v>
      </x:c>
      <x:c r="K257" s="11" t="str">
        <x:v>No</x:v>
      </x:c>
      <x:c r="L257" s="11" t="str">
        <x:v>https://www.ullstein.de/werke/vengeance/paperback/9783958187962</x:v>
      </x:c>
      <x:c r="M257" s="11" t="str">
        <x:v>Academy of Dream Analysis</x:v>
      </x:c>
      <x:c r="N257" s="11" t="str">
        <x:v>Full verified</x:v>
      </x:c>
      <x:c r="O257" s="11" t="str">
        <x:v>Relevant German edition used; broad genre standardized for analysis.</x:v>
      </x:c>
    </x:row>
    <x:row r="258">
      <x:c r="A258" s="11" t="str">
        <x:v>Blood - Du sollst bereuen</x:v>
      </x:c>
      <x:c r="B258" s="11" t="str">
        <x:v>S.T. Abby</x:v>
      </x:c>
      <x:c r="C258" s="11" t="str">
        <x:v>978-3-442-49801-7</x:v>
      </x:c>
      <x:c r="D258" s="11" t="str">
        <x:v>Goldmann</x:v>
      </x:c>
      <x:c r="E258" s="11" t="str">
        <x:v>Thriller / Dark Romance</x:v>
      </x:c>
      <x:c r="F258" s="11" t="str">
        <x:v>2026-06-24</x:v>
      </x:c>
      <x:c r="G258" s="14" t="n">
        <x:v>12</x:v>
      </x:c>
      <x:c r="H258" s="11" t="str">
        <x:v>Paperback</x:v>
      </x:c>
      <x:c r="I258" s="11" t="str">
        <x:v>Yes</x:v>
      </x:c>
      <x:c r="J258" s="11" t="n">
        <x:v>2</x:v>
      </x:c>
      <x:c r="K258" s="11" t="str">
        <x:v>No</x:v>
      </x:c>
      <x:c r="L258" s="11" t="str">
        <x:v>https://www.bueltmann-gerriets.de/9783442498017/blood-du-sollst-bereuen</x:v>
      </x:c>
      <x:c r="M258" s="11" t="str">
        <x:v>The Mindf*ck / Lana Myers</x:v>
      </x:c>
      <x:c r="N258" s="11" t="str">
        <x:v>Full verified</x:v>
      </x:c>
      <x:c r="O258" s="11" t="str">
        <x:v>Relevant chart-era edition used; broad genre standardized for analysis.</x:v>
      </x:c>
    </x:row>
    <x:row r="259">
      <x:c r="A259" s="11" t="str">
        <x:v>Secret - Du sollst mich fürchten</x:v>
      </x:c>
      <x:c r="B259" s="11" t="str">
        <x:v>S.T. Abby</x:v>
      </x:c>
      <x:c r="C259" s="11" t="str">
        <x:v>978-3-442-49800-0</x:v>
      </x:c>
      <x:c r="D259" s="11" t="str">
        <x:v>Goldmann</x:v>
      </x:c>
      <x:c r="E259" s="11" t="str">
        <x:v>Thriller / Dark Romance</x:v>
      </x:c>
      <x:c r="F259" s="11" t="str">
        <x:v>2026-06-24</x:v>
      </x:c>
      <x:c r="G259" s="14" t="n">
        <x:v>12</x:v>
      </x:c>
      <x:c r="H259" s="11" t="str">
        <x:v>Paperback</x:v>
      </x:c>
      <x:c r="I259" s="11" t="str">
        <x:v>Yes</x:v>
      </x:c>
      <x:c r="J259" s="11" t="n">
        <x:v>1</x:v>
      </x:c>
      <x:c r="K259" s="11" t="str">
        <x:v>No</x:v>
      </x:c>
      <x:c r="L259" s="11" t="str">
        <x:v>https://www.bueltmann-gerriets.de/9783442498000/s-t-abby-secret-du-sollst-mich-fuerchten</x:v>
      </x:c>
      <x:c r="M259" s="11" t="str">
        <x:v>The Mindf*ck / Lana Myers</x:v>
      </x:c>
      <x:c r="N259" s="11" t="str">
        <x:v>Full verified</x:v>
      </x:c>
      <x:c r="O259" s="11" t="str">
        <x:v>Relevant chart-era edition used; broad genre standardized for analysis.</x:v>
      </x:c>
    </x:row>
    <x:row r="260">
      <x:c r="A260" s="11" t="str">
        <x:v>Dire Bound</x:v>
      </x:c>
      <x:c r="B260" s="11" t="str">
        <x:v>Sable Sorensen</x:v>
      </x:c>
      <x:c r="C260" s="11" t="str">
        <x:v>978-3-442-30243-7</x:v>
      </x:c>
      <x:c r="D260" s="11" t="str">
        <x:v>Goldmann</x:v>
      </x:c>
      <x:c r="E260" s="11" t="str">
        <x:v>Fantasy / Romantasy</x:v>
      </x:c>
      <x:c r="F260" s="11" t="str">
        <x:v>2026-02-25</x:v>
      </x:c>
      <x:c r="G260" s="14" t="n">
        <x:v>24</x:v>
      </x:c>
      <x:c r="H260" s="11" t="str">
        <x:v>Hardcover</x:v>
      </x:c>
      <x:c r="I260" s="11" t="str">
        <x:v>Yes</x:v>
      </x:c>
      <x:c r="J260" s="11" t="n">
        <x:v>1</x:v>
      </x:c>
      <x:c r="K260" s="11" t="str">
        <x:v>No</x:v>
      </x:c>
      <x:c r="L260" s="11" t="str">
        <x:v>https://www.vorablesen.de/buecher/dire-bound</x:v>
      </x:c>
      <x:c r="M260" s="11" t="str">
        <x:v>Wolves of Ruin</x:v>
      </x:c>
      <x:c r="N260" s="11" t="str">
        <x:v>Full verified</x:v>
      </x:c>
      <x:c r="O260" s="11" t="str">
        <x:v>Relevant chart-era edition used; broad genre standardized for analysis.</x:v>
      </x:c>
    </x:row>
    <x:row r="261">
      <x:c r="A261" s="11" t="str">
        <x:v>Fury Bound</x:v>
      </x:c>
      <x:c r="B261" s="11" t="str">
        <x:v>Sable Sorensen</x:v>
      </x:c>
      <x:c r="C261" s="11" t="str">
        <x:v>978-3-442-30257-4</x:v>
      </x:c>
      <x:c r="D261" s="11" t="str">
        <x:v>Goldmann</x:v>
      </x:c>
      <x:c r="E261" s="11" t="str">
        <x:v>Fantasy / Romantasy</x:v>
      </x:c>
      <x:c r="F261" s="11" t="str">
        <x:v>2026-07-15</x:v>
      </x:c>
      <x:c r="G261" s="14" t="n">
        <x:v>25</x:v>
      </x:c>
      <x:c r="H261" s="11" t="str">
        <x:v>Hardcover</x:v>
      </x:c>
      <x:c r="I261" s="11" t="str">
        <x:v>Yes</x:v>
      </x:c>
      <x:c r="J261" s="11" t="n">
        <x:v>2</x:v>
      </x:c>
      <x:c r="K261" s="11" t="str">
        <x:v>No</x:v>
      </x:c>
      <x:c r="L261" s="11" t="str">
        <x:v>https://www.thalia.de/shop/home/artikeldetails/A1077077281</x:v>
      </x:c>
      <x:c r="M261" s="11" t="str">
        <x:v>Wolves of Ruin</x:v>
      </x:c>
      <x:c r="N261" s="11" t="str">
        <x:v>Full verified</x:v>
      </x:c>
      <x:c r="O261" s="11" t="str">
        <x:v>Relevant chart-era edition used; broad genre standardized for analysis.</x:v>
      </x:c>
    </x:row>
    <x:row r="262">
      <x:c r="A262" s="11" t="str">
        <x:v>When The Moon Hatched</x:v>
      </x:c>
      <x:c r="B262" s="11" t="str">
        <x:v>Sarah A. Parker</x:v>
      </x:c>
      <x:c r="C262" s="11" t="str">
        <x:v>978-3-328-60391-7</x:v>
      </x:c>
      <x:c r="D262" s="11" t="str">
        <x:v>Penguin</x:v>
      </x:c>
      <x:c r="E262" s="11" t="str">
        <x:v>Fantasy / Romantasy</x:v>
      </x:c>
      <x:c r="F262" s="11" t="str">
        <x:v>2024-07-10</x:v>
      </x:c>
      <x:c r="G262" s="14" t="n">
        <x:v>24</x:v>
      </x:c>
      <x:c r="H262" s="11" t="str">
        <x:v>Hardcover</x:v>
      </x:c>
      <x:c r="I262" s="11" t="str">
        <x:v>Yes</x:v>
      </x:c>
      <x:c r="J262" s="11" t="n">
        <x:v>1</x:v>
      </x:c>
      <x:c r="K262" s="11" t="str">
        <x:v>No</x:v>
      </x:c>
      <x:c r="L262" s="11" t="str">
        <x:v>https://www.thalia.de/shop/home/artikeldetails/A1070058500</x:v>
      </x:c>
      <x:c r="M262" s="11" t="str">
        <x:v>Moonfall</x:v>
      </x:c>
      <x:c r="N262" s="11" t="str">
        <x:v>Full verified</x:v>
      </x:c>
      <x:c r="O262" s="11" t="str">
        <x:v>Relevant German edition used; broad genre standardized for analysis.</x:v>
      </x:c>
    </x:row>
    <x:row r="263">
      <x:c r="A263" s="11" t="str">
        <x:v>Crescent City - Wenn die Schatten sich erheben</x:v>
      </x:c>
      <x:c r="B263" s="11" t="str">
        <x:v>Sarah J. Maas</x:v>
      </x:c>
      <x:c r="C263" s="11" t="str">
        <x:v>978-3-423-76477-3</x:v>
      </x:c>
      <x:c r="D263" s="11" t="str">
        <x:v>dtv</x:v>
      </x:c>
      <x:c r="E263" s="11" t="str">
        <x:v>Fantasy</x:v>
      </x:c>
      <x:c r="F263" s="11" t="str">
        <x:v>2024-03-07</x:v>
      </x:c>
      <x:c r="G263" s="14" t="n">
        <x:v>26</x:v>
      </x:c>
      <x:c r="H263" s="11" t="str">
        <x:v>Hardcover</x:v>
      </x:c>
      <x:c r="I263" s="11" t="str">
        <x:v>Yes</x:v>
      </x:c>
      <x:c r="J263" s="11" t="n">
        <x:v>3</x:v>
      </x:c>
      <x:c r="K263" s="11" t="str">
        <x:v>No</x:v>
      </x:c>
      <x:c r="L263" s="11" t="str">
        <x:v>https://www.dtv.de/buch/crescent-city-wenn-die-schatten-sich-erheben</x:v>
      </x:c>
      <x:c r="M263" s="11" t="str">
        <x:v>Crescent City</x:v>
      </x:c>
      <x:c r="N263" s="11" t="str">
        <x:v>Full verified</x:v>
      </x:c>
      <x:c r="O263" s="11" t="str">
        <x:v>Relevant German edition used; broad genre standardized for analysis.</x:v>
      </x:c>
    </x:row>
    <x:row r="264">
      <x:c r="A264" s="11" t="str">
        <x:v>Das Reich der sieben Höfe - Dornen und Rosen</x:v>
      </x:c>
      <x:c r="B264" s="11" t="str">
        <x:v>Sarah J. Maas</x:v>
      </x:c>
      <x:c r="C264" s="11" t="str">
        <x:v>978-3-423-71849-3</x:v>
      </x:c>
      <x:c r="D264" s="11" t="str">
        <x:v>dtv</x:v>
      </x:c>
      <x:c r="E264" s="11" t="str">
        <x:v>Fantasy / Romantasy</x:v>
      </x:c>
      <x:c r="F264" s="11" t="str">
        <x:v>2020-05-22</x:v>
      </x:c>
      <x:c r="G264" s="14" t="n">
        <x:v>14</x:v>
      </x:c>
      <x:c r="H264" s="11" t="str">
        <x:v>Taschenbuch</x:v>
      </x:c>
      <x:c r="I264" s="11" t="str">
        <x:v>Yes</x:v>
      </x:c>
      <x:c r="J264" s="11" t="n">
        <x:v>1</x:v>
      </x:c>
      <x:c r="K264" s="11" t="str">
        <x:v>No</x:v>
      </x:c>
      <x:c r="L264" s="11" t="str">
        <x:v>https://www.dtv.de/product/4f9a651313a34b6b95ae2bd363b3a30a/pdf-download</x:v>
      </x:c>
      <x:c r="M264" s="11" t="str">
        <x:v>Das Reich der sieben Höfe</x:v>
      </x:c>
      <x:c r="N264" s="11" t="str">
        <x:v>Full verified</x:v>
      </x:c>
      <x:c r="O264" s="11" t="str">
        <x:v>Relevant German edition used; broad genre standardized for analysis.</x:v>
      </x:c>
    </x:row>
    <x:row r="265">
      <x:c r="A265" s="11" t="str">
        <x:v>Throne of Glass - Der verwundete Krieger</x:v>
      </x:c>
      <x:c r="B265" s="11" t="str">
        <x:v>Sarah J. Maas</x:v>
      </x:c>
      <x:c r="C265" s="11" t="str">
        <x:v>978-3-423-76535-0</x:v>
      </x:c>
      <x:c r="D265" s="11" t="str">
        <x:v>dtv</x:v>
      </x:c>
      <x:c r="E265" s="11" t="str">
        <x:v>Fantasy / YA</x:v>
      </x:c>
      <x:c r="F265" s="11" t="str">
        <x:v>2025-07-10</x:v>
      </x:c>
      <x:c r="G265" s="14" t="n">
        <x:v>32</x:v>
      </x:c>
      <x:c r="H265" s="11" t="str">
        <x:v>Hardcover</x:v>
      </x:c>
      <x:c r="I265" s="11" t="str">
        <x:v>Yes</x:v>
      </x:c>
      <x:c r="J265" s="11" t="n">
        <x:v>6</x:v>
      </x:c>
      <x:c r="K265" s="11" t="str">
        <x:v>No</x:v>
      </x:c>
      <x:c r="L265" s="11" t="str">
        <x:v>https://www.dtv.de/buch/throne-of-glass-der-verwundete-krieger-76535</x:v>
      </x:c>
      <x:c r="M265" s="11" t="str">
        <x:v>Throne of Glass</x:v>
      </x:c>
      <x:c r="N265" s="11" t="str">
        <x:v>Full verified</x:v>
      </x:c>
      <x:c r="O265" s="11" t="str">
        <x:v>Relevant chart-era edition used; broad genre standardized for analysis.</x:v>
      </x:c>
    </x:row>
    <x:row r="266">
      <x:c r="A266" s="11" t="str">
        <x:v>Throne of Glass - Die Erwählte</x:v>
      </x:c>
      <x:c r="B266" s="11" t="str">
        <x:v>Sarah J. Maas</x:v>
      </x:c>
      <x:c r="C266" s="11" t="str">
        <x:v>978-3-423-76530-5</x:v>
      </x:c>
      <x:c r="D266" s="11" t="str">
        <x:v>dtv</x:v>
      </x:c>
      <x:c r="E266" s="11" t="str">
        <x:v>Fantasy / YA</x:v>
      </x:c>
      <x:c r="F266" s="11" t="str">
        <x:v>2025</x:v>
      </x:c>
      <x:c r="G266" s="14"/>
      <x:c r="H266" s="11" t="str">
        <x:v>Hardcover</x:v>
      </x:c>
      <x:c r="I266" s="11" t="str">
        <x:v>Yes</x:v>
      </x:c>
      <x:c r="J266" s="11" t="n">
        <x:v>1</x:v>
      </x:c>
      <x:c r="K266" s="11" t="str">
        <x:v>No</x:v>
      </x:c>
      <x:c r="L266" s="11" t="str">
        <x:v>https://books.google.com/</x:v>
      </x:c>
      <x:c r="M266" s="11" t="str">
        <x:v>Throne of Glass</x:v>
      </x:c>
      <x:c r="N266" s="11" t="str">
        <x:v>Core verified</x:v>
      </x:c>
      <x:c r="O266" s="11" t="str">
        <x:v>2025 German hardcover edition verified; exact day not retained.</x:v>
      </x:c>
    </x:row>
    <x:row r="267">
      <x:c r="A267" s="11" t="str">
        <x:v>Throne of Glass - Königin der Finsternis</x:v>
      </x:c>
      <x:c r="B267" s="11" t="str">
        <x:v>Sarah J. Maas</x:v>
      </x:c>
      <x:c r="C267" s="11" t="str">
        <x:v>978-3-423-76533-6</x:v>
      </x:c>
      <x:c r="D267" s="11" t="str">
        <x:v>dtv</x:v>
      </x:c>
      <x:c r="E267" s="11" t="str">
        <x:v>Fantasy / YA</x:v>
      </x:c>
      <x:c r="F267" s="11" t="str">
        <x:v>2025-06-12</x:v>
      </x:c>
      <x:c r="G267" s="14" t="n">
        <x:v>30</x:v>
      </x:c>
      <x:c r="H267" s="11" t="str">
        <x:v>Hardcover</x:v>
      </x:c>
      <x:c r="I267" s="11" t="str">
        <x:v>Yes</x:v>
      </x:c>
      <x:c r="J267" s="11" t="n">
        <x:v>4</x:v>
      </x:c>
      <x:c r="K267" s="11" t="str">
        <x:v>No</x:v>
      </x:c>
      <x:c r="L267" s="11" t="str">
        <x:v>https://www.dtv.de/buch/throne-of-glass-koenigin-der-finsternis-76533</x:v>
      </x:c>
      <x:c r="M267" s="11" t="str">
        <x:v>Throne of Glass</x:v>
      </x:c>
      <x:c r="N267" s="11" t="str">
        <x:v>Full verified</x:v>
      </x:c>
      <x:c r="O267" s="11" t="str">
        <x:v>Relevant chart-era edition used; broad genre standardized for analysis.</x:v>
      </x:c>
    </x:row>
    <x:row r="268">
      <x:c r="A268" s="11" t="str">
        <x:v>Dunbridge Academy - Anywhere</x:v>
      </x:c>
      <x:c r="B268" s="11" t="str">
        <x:v>Sarah Sprinz</x:v>
      </x:c>
      <x:c r="C268" s="11" t="str">
        <x:v>978-3-7363-1655-3</x:v>
      </x:c>
      <x:c r="D268" s="11" t="str">
        <x:v>LYX</x:v>
      </x:c>
      <x:c r="E268" s="11" t="str">
        <x:v>Romance / New Adult</x:v>
      </x:c>
      <x:c r="F268" s="11" t="str">
        <x:v>2022-01-26</x:v>
      </x:c>
      <x:c r="G268" s="14" t="n">
        <x:v>16.9</x:v>
      </x:c>
      <x:c r="H268" s="11" t="str">
        <x:v>Paperback</x:v>
      </x:c>
      <x:c r="I268" s="11" t="str">
        <x:v>Yes</x:v>
      </x:c>
      <x:c r="J268" s="11" t="n">
        <x:v>3</x:v>
      </x:c>
      <x:c r="K268" s="11" t="str">
        <x:v>No</x:v>
      </x:c>
      <x:c r="L268" s="11" t="str">
        <x:v>https://www.schweitzer-online.de/buch/Sprinz/Dunbridge-Academy-Anywhere/9783736316553/B564054/</x:v>
      </x:c>
      <x:c r="M268" s="11" t="str">
        <x:v>Dunbridge Academy</x:v>
      </x:c>
      <x:c r="N268" s="11" t="str">
        <x:v>Full verified</x:v>
      </x:c>
      <x:c r="O268" s="11" t="str">
        <x:v>Genre is a standardized analytical category for this project.</x:v>
      </x:c>
    </x:row>
    <x:row r="269">
      <x:c r="A269" s="11" t="str">
        <x:v>Dunbridge Academy - Wherever</x:v>
      </x:c>
      <x:c r="B269" s="11" t="str">
        <x:v>Sarah Sprinz</x:v>
      </x:c>
      <x:c r="C269" s="11" t="str">
        <x:v>978-3-7363-2570-8</x:v>
      </x:c>
      <x:c r="D269" s="11" t="str">
        <x:v>LYX</x:v>
      </x:c>
      <x:c r="E269" s="11" t="str">
        <x:v>Romance / New Adult</x:v>
      </x:c>
      <x:c r="F269" s="11" t="str">
        <x:v>2026-02-09</x:v>
      </x:c>
      <x:c r="G269" s="14" t="n">
        <x:v>16.9</x:v>
      </x:c>
      <x:c r="H269" s="11" t="str">
        <x:v>Paperback</x:v>
      </x:c>
      <x:c r="I269" s="11" t="str">
        <x:v>Yes</x:v>
      </x:c>
      <x:c r="J269" s="11" t="n">
        <x:v>5</x:v>
      </x:c>
      <x:c r="K269" s="11" t="str">
        <x:v>No</x:v>
      </x:c>
      <x:c r="L269" s="11" t="str">
        <x:v>https://www.thalia.de/shop/home/artikeldetails/A1076879015</x:v>
      </x:c>
      <x:c r="M269" s="11" t="str">
        <x:v>Dunbridge Academy</x:v>
      </x:c>
      <x:c r="N269" s="11" t="str">
        <x:v>Full verified</x:v>
      </x:c>
      <x:c r="O269" s="11" t="str">
        <x:v>Relevant chart-era edition used; broad genre standardized for analysis.</x:v>
      </x:c>
    </x:row>
    <x:row r="270">
      <x:c r="A270" s="11" t="str">
        <x:v>Dunbridge Academy - Whoever</x:v>
      </x:c>
      <x:c r="B270" s="11" t="str">
        <x:v>Sarah Sprinz</x:v>
      </x:c>
      <x:c r="C270" s="11" t="str">
        <x:v>978-3-7363-2613-2</x:v>
      </x:c>
      <x:c r="D270" s="11" t="str">
        <x:v>LYX</x:v>
      </x:c>
      <x:c r="E270" s="11" t="str">
        <x:v>Romance / New Adult</x:v>
      </x:c>
      <x:c r="F270" s="11" t="str">
        <x:v>2026-06-08</x:v>
      </x:c>
      <x:c r="G270" s="14" t="n">
        <x:v>16.9</x:v>
      </x:c>
      <x:c r="H270" s="11" t="str">
        <x:v>Paperback</x:v>
      </x:c>
      <x:c r="I270" s="11" t="str">
        <x:v>Yes</x:v>
      </x:c>
      <x:c r="J270" s="11" t="n">
        <x:v>6</x:v>
      </x:c>
      <x:c r="K270" s="11" t="str">
        <x:v>No</x:v>
      </x:c>
      <x:c r="L270" s="11" t="str">
        <x:v>https://bastei-luebbe.de/Buecher/New-Adult/Dunbridge-Academy-Whoever/9783736326132</x:v>
      </x:c>
      <x:c r="M270" s="11" t="str">
        <x:v>Dunbridge Academy</x:v>
      </x:c>
      <x:c r="N270" s="11" t="str">
        <x:v>Full verified</x:v>
      </x:c>
      <x:c r="O270" s="11" t="str">
        <x:v>Relevant chart-era edition used; broad genre standardized for analysis.</x:v>
      </x:c>
    </x:row>
    <x:row r="271">
      <x:c r="A271" s="11" t="str">
        <x:v>Infinity Falling - Change My Mind</x:v>
      </x:c>
      <x:c r="B271" s="11" t="str">
        <x:v>Sarah Sprinz</x:v>
      </x:c>
      <x:c r="C271" s="11" t="str">
        <x:v>978-3-7363-2023-9</x:v>
      </x:c>
      <x:c r="D271" s="11" t="str">
        <x:v>LYX</x:v>
      </x:c>
      <x:c r="E271" s="11" t="str">
        <x:v>Romance / New Adult</x:v>
      </x:c>
      <x:c r="F271" s="11" t="str">
        <x:v>2024-02-20</x:v>
      </x:c>
      <x:c r="G271" s="14" t="n">
        <x:v>14</x:v>
      </x:c>
      <x:c r="H271" s="11" t="str">
        <x:v>Paperback</x:v>
      </x:c>
      <x:c r="I271" s="11" t="str">
        <x:v>Yes</x:v>
      </x:c>
      <x:c r="J271" s="11" t="n">
        <x:v>2</x:v>
      </x:c>
      <x:c r="K271" s="11" t="str">
        <x:v>No</x:v>
      </x:c>
      <x:c r="L271" s="11" t="str">
        <x:v>https://books.google.com/books/about/Infinity_Falling_Change_My_Mind.html?id=RoyaEAAAQBAJ</x:v>
      </x:c>
      <x:c r="M271" s="11" t="str">
        <x:v>Infinity</x:v>
      </x:c>
      <x:c r="N271" s="11" t="str">
        <x:v>Full verified</x:v>
      </x:c>
      <x:c r="O271" s="11" t="str">
        <x:v>Relevant German edition used; broad genre standardized for analysis.</x:v>
      </x:c>
    </x:row>
    <x:row r="272">
      <x:c r="A272" s="11" t="str">
        <x:v>Infinity Falling - Mess Me Up</x:v>
      </x:c>
      <x:c r="B272" s="11" t="str">
        <x:v>Sarah Sprinz</x:v>
      </x:c>
      <x:c r="C272" s="11" t="str">
        <x:v>978-3-7363-1973-8</x:v>
      </x:c>
      <x:c r="D272" s="11" t="str">
        <x:v>LYX</x:v>
      </x:c>
      <x:c r="E272" s="11" t="str">
        <x:v>Romance / New Adult</x:v>
      </x:c>
      <x:c r="F272" s="11" t="str">
        <x:v>2023-08-22</x:v>
      </x:c>
      <x:c r="G272" s="14" t="n">
        <x:v>14</x:v>
      </x:c>
      <x:c r="H272" s="11" t="str">
        <x:v>Taschenbuch</x:v>
      </x:c>
      <x:c r="I272" s="11" t="str">
        <x:v>Yes</x:v>
      </x:c>
      <x:c r="J272" s="11" t="n">
        <x:v>1</x:v>
      </x:c>
      <x:c r="K272" s="11"/>
      <x:c r="L272" s="11" t="str">
        <x:v>https://www.thalia.de/shop/home/artikeldetails/A1066688003</x:v>
      </x:c>
      <x:c r="M272" s="11" t="str">
        <x:v>Infinity</x:v>
      </x:c>
      <x:c r="N272" s="11" t="str">
        <x:v>Full verified</x:v>
      </x:c>
      <x:c r="O272" s="11" t="str">
        <x:v>Genre is a standardized analytical category for this project.</x:v>
      </x:c>
    </x:row>
    <x:row r="273">
      <x:c r="A273" s="11" t="str">
        <x:v>Alchemised</x:v>
      </x:c>
      <x:c r="B273" s="11" t="str">
        <x:v>SenLinYu</x:v>
      </x:c>
      <x:c r="C273" s="11" t="str">
        <x:v>978-3-98978-027-9</x:v>
      </x:c>
      <x:c r="D273" s="11" t="str">
        <x:v>Forever / Ullstein</x:v>
      </x:c>
      <x:c r="E273" s="11" t="str">
        <x:v>Fantasy / Romantasy</x:v>
      </x:c>
      <x:c r="F273" s="11" t="str">
        <x:v>2025-09-23</x:v>
      </x:c>
      <x:c r="G273" s="14" t="n">
        <x:v>34.99</x:v>
      </x:c>
      <x:c r="H273" s="11" t="str">
        <x:v>English Hardcover</x:v>
      </x:c>
      <x:c r="I273" s="11" t="str">
        <x:v>No</x:v>
      </x:c>
      <x:c r="J273" s="11"/>
      <x:c r="K273" s="11" t="str">
        <x:v>No</x:v>
      </x:c>
      <x:c r="L273" s="11" t="str">
        <x:v>https://www.ullstein.de/werke/alchemised/hardcover/9783989780279</x:v>
      </x:c>
      <x:c r="M273" s="11"/>
      <x:c r="N273" s="11" t="str">
        <x:v>Edition ambiguous</x:v>
      </x:c>
      <x:c r="O273" s="11" t="str">
        <x:v>English Edition by Forever used because the BookTok chart appearance coincides with the English release; a separate German translation also exists.</x:v>
      </x:c>
    </x:row>
    <x:row r="274">
      <x:c r="A274" s="11" t="str">
        <x:v>Wie kann sie nur?</x:v>
      </x:c>
      <x:c r="B274" s="11" t="str">
        <x:v>Sophie Passmann</x:v>
      </x:c>
      <x:c r="C274" s="11" t="str">
        <x:v>978-3-462-00858-6</x:v>
      </x:c>
      <x:c r="D274" s="11" t="str">
        <x:v>Kiepenheuer &amp; Witsch</x:v>
      </x:c>
      <x:c r="E274" s="11" t="str">
        <x:v>Social Commentary / Nonfiction</x:v>
      </x:c>
      <x:c r="F274" s="11" t="str">
        <x:v>2026-03-12</x:v>
      </x:c>
      <x:c r="G274" s="14" t="n">
        <x:v>23</x:v>
      </x:c>
      <x:c r="H274" s="11" t="str">
        <x:v>Hardcover</x:v>
      </x:c>
      <x:c r="I274" s="11" t="str">
        <x:v>No</x:v>
      </x:c>
      <x:c r="J274" s="11"/>
      <x:c r="K274" s="11" t="str">
        <x:v>No</x:v>
      </x:c>
      <x:c r="L274" s="11" t="str">
        <x:v>https://www.kiwi-verlag.de/buch/sophie-passmann-wie-kann-sie-nur-9783462008586</x:v>
      </x:c>
      <x:c r="M274" s="11"/>
      <x:c r="N274" s="11" t="str">
        <x:v>Full verified</x:v>
      </x:c>
      <x:c r="O274" s="11" t="str">
        <x:v>Relevant chart-era edition used; broad genre standardized for analysis.</x:v>
      </x:c>
    </x:row>
    <x:row r="275">
      <x:c r="A275" s="11" t="str">
        <x:v>Das Kind in dir muss Heimat finden</x:v>
      </x:c>
      <x:c r="B275" s="11" t="str">
        <x:v>Stefanie Stahl</x:v>
      </x:c>
      <x:c r="C275" s="11" t="str">
        <x:v>978-3-424-63107-4</x:v>
      </x:c>
      <x:c r="D275" s="11" t="str">
        <x:v>Kailash</x:v>
      </x:c>
      <x:c r="E275" s="11" t="str">
        <x:v>Self-Help / Psychology</x:v>
      </x:c>
      <x:c r="F275" s="11" t="str">
        <x:v>2015-11-16</x:v>
      </x:c>
      <x:c r="G275" s="14"/>
      <x:c r="H275" s="11" t="str">
        <x:v>Taschenbuch</x:v>
      </x:c>
      <x:c r="I275" s="11" t="str">
        <x:v>No</x:v>
      </x:c>
      <x:c r="J275" s="11"/>
      <x:c r="K275" s="11" t="str">
        <x:v>No</x:v>
      </x:c>
      <x:c r="L275" s="11" t="str">
        <x:v>https://www.thalia.de/shop/home/artikeldetails/A1036033852</x:v>
      </x:c>
      <x:c r="M275" s="11"/>
      <x:c r="N275" s="11" t="str">
        <x:v>Full verified</x:v>
      </x:c>
      <x:c r="O275" s="11" t="str">
        <x:v>Genre is a standardized analytical category for this project.</x:v>
      </x:c>
    </x:row>
    <x:row r="276">
      <x:c r="A276" s="11" t="str">
        <x:v>Hensslers Schnelle Nummer – morgens, mittags, abends</x:v>
      </x:c>
      <x:c r="B276" s="11" t="str">
        <x:v>Steffen Henssler</x:v>
      </x:c>
      <x:c r="C276" s="11" t="str">
        <x:v>978-3-8338-9631-6</x:v>
      </x:c>
      <x:c r="D276" s="11" t="str">
        <x:v>Gräfe und Unzer</x:v>
      </x:c>
      <x:c r="E276" s="11" t="str">
        <x:v>Cooking / Nonfiction</x:v>
      </x:c>
      <x:c r="F276" s="11" t="str">
        <x:v>2025-09-18</x:v>
      </x:c>
      <x:c r="G276" s="14" t="n">
        <x:v>29.9</x:v>
      </x:c>
      <x:c r="H276" s="11" t="str">
        <x:v>Hardcover</x:v>
      </x:c>
      <x:c r="I276" s="11" t="str">
        <x:v>No</x:v>
      </x:c>
      <x:c r="J276" s="11"/>
      <x:c r="K276" s="11" t="str">
        <x:v>No</x:v>
      </x:c>
      <x:c r="L276" s="11" t="str">
        <x:v>https://gu.de/products/76826-hensslers-schnelle-nummer-morgens-mittags-abends</x:v>
      </x:c>
      <x:c r="M276" s="11"/>
      <x:c r="N276" s="11" t="str">
        <x:v>Full verified</x:v>
      </x:c>
      <x:c r="O276" s="11" t="str">
        <x:v>Relevant chart-era edition used; broad genre standardized for analysis.</x:v>
      </x:c>
    </x:row>
    <x:row r="277">
      <x:c r="A277" s="11" t="str">
        <x:v>Black Bird Academy - Liebe den Tod</x:v>
      </x:c>
      <x:c r="B277" s="11" t="str">
        <x:v>Stella Tack</x:v>
      </x:c>
      <x:c r="C277" s="11" t="str">
        <x:v>978-3-7645-3284-0</x:v>
      </x:c>
      <x:c r="D277" s="11" t="str">
        <x:v>Penhaligon</x:v>
      </x:c>
      <x:c r="E277" s="11" t="str">
        <x:v>Fantasy / Romantasy</x:v>
      </x:c>
      <x:c r="F277" s="11" t="str">
        <x:v>2025-06-19</x:v>
      </x:c>
      <x:c r="G277" s="14" t="n">
        <x:v>17</x:v>
      </x:c>
      <x:c r="H277" s="11" t="str">
        <x:v>Paperback</x:v>
      </x:c>
      <x:c r="I277" s="11" t="str">
        <x:v>Yes</x:v>
      </x:c>
      <x:c r="J277" s="11" t="n">
        <x:v>3</x:v>
      </x:c>
      <x:c r="K277" s="11" t="str">
        <x:v>No</x:v>
      </x:c>
      <x:c r="L277" s="11" t="str">
        <x:v>https://www.thalia.de/shop/home/artikeldetails/A1066925518</x:v>
      </x:c>
      <x:c r="M277" s="11" t="str">
        <x:v>Black Bird Academy</x:v>
      </x:c>
      <x:c r="N277" s="11" t="str">
        <x:v>Full verified</x:v>
      </x:c>
      <x:c r="O277" s="11" t="str">
        <x:v>Relevant chart-era edition used; broad genre standardized for analysis.</x:v>
      </x:c>
    </x:row>
    <x:row r="278">
      <x:c r="A278" s="11" t="str">
        <x:v>Black Bird Academy - Töte die Dunkelheit</x:v>
      </x:c>
      <x:c r="B278" s="11" t="str">
        <x:v>Stella Tack</x:v>
      </x:c>
      <x:c r="C278" s="11" t="str">
        <x:v>978-3-7645-3282-6</x:v>
      </x:c>
      <x:c r="D278" s="11" t="str">
        <x:v>Penhaligon</x:v>
      </x:c>
      <x:c r="E278" s="11" t="str">
        <x:v>Fantasy / Romantasy</x:v>
      </x:c>
      <x:c r="F278" s="11" t="str">
        <x:v>2023-04-12</x:v>
      </x:c>
      <x:c r="G278" s="14" t="n">
        <x:v>17</x:v>
      </x:c>
      <x:c r="H278" s="11" t="str">
        <x:v>Paperback</x:v>
      </x:c>
      <x:c r="I278" s="11" t="str">
        <x:v>Yes</x:v>
      </x:c>
      <x:c r="J278" s="11" t="n">
        <x:v>1</x:v>
      </x:c>
      <x:c r="K278" s="11"/>
      <x:c r="L278" s="11" t="str">
        <x:v>https://www.jpc.de/jpcng/books/detail/-/art/stella-tack-black-bird-academy-toete-die-dunkelheit/hnum/11090304</x:v>
      </x:c>
      <x:c r="M278" s="11" t="str">
        <x:v>Black Bird Academy</x:v>
      </x:c>
      <x:c r="N278" s="11" t="str">
        <x:v>Full verified</x:v>
      </x:c>
      <x:c r="O278" s="11" t="str">
        <x:v>Genre is a standardized analytical category for this project.</x:v>
      </x:c>
    </x:row>
    <x:row r="279">
      <x:c r="A279" s="11" t="str">
        <x:v>Once Upon a Broken Heart</x:v>
      </x:c>
      <x:c r="B279" s="11" t="str">
        <x:v>Stephanie Garber</x:v>
      </x:c>
      <x:c r="C279" s="11" t="str">
        <x:v>978-3-570-16706-9</x:v>
      </x:c>
      <x:c r="D279" s="11" t="str">
        <x:v>cbj</x:v>
      </x:c>
      <x:c r="E279" s="11" t="str">
        <x:v>Fantasy / Romantasy</x:v>
      </x:c>
      <x:c r="F279" s="11" t="str">
        <x:v>2023-11-15</x:v>
      </x:c>
      <x:c r="G279" s="14" t="n">
        <x:v>17</x:v>
      </x:c>
      <x:c r="H279" s="11" t="str">
        <x:v>Paperback</x:v>
      </x:c>
      <x:c r="I279" s="11" t="str">
        <x:v>Yes</x:v>
      </x:c>
      <x:c r="J279" s="11" t="n">
        <x:v>1</x:v>
      </x:c>
      <x:c r="K279" s="11" t="str">
        <x:v>No</x:v>
      </x:c>
      <x:c r="L279" s="11" t="str">
        <x:v>https://www.hugendubel.info/detail/ISBN-9783570167069/Garber-Stephanie/Once-Upon-a-Broken-Heart</x:v>
      </x:c>
      <x:c r="M279" s="11" t="str">
        <x:v>Once Upon a Broken Heart</x:v>
      </x:c>
      <x:c r="N279" s="11" t="str">
        <x:v>Full verified</x:v>
      </x:c>
      <x:c r="O279" s="11" t="str">
        <x:v>Genre is a standardized analytical category for this project.</x:v>
      </x:c>
    </x:row>
    <x:row r="280">
      <x:c r="A280" s="11" t="str">
        <x:v>The Ballad of Never After</x:v>
      </x:c>
      <x:c r="B280" s="11" t="str">
        <x:v>Stephanie Garber</x:v>
      </x:c>
      <x:c r="C280" s="11" t="str">
        <x:v>978-3-570-16718-2</x:v>
      </x:c>
      <x:c r="D280" s="11" t="str">
        <x:v>cbj</x:v>
      </x:c>
      <x:c r="E280" s="11" t="str">
        <x:v>Fantasy / Romantasy</x:v>
      </x:c>
      <x:c r="F280" s="11" t="str">
        <x:v>2024-06-26</x:v>
      </x:c>
      <x:c r="G280" s="14" t="n">
        <x:v>17</x:v>
      </x:c>
      <x:c r="H280" s="11" t="str">
        <x:v>Paperback</x:v>
      </x:c>
      <x:c r="I280" s="11" t="str">
        <x:v>Yes</x:v>
      </x:c>
      <x:c r="J280" s="11" t="n">
        <x:v>2</x:v>
      </x:c>
      <x:c r="K280" s="11" t="str">
        <x:v>No</x:v>
      </x:c>
      <x:c r="L280" s="11" t="str">
        <x:v>https://www.thalia.de/shop/home/artikeldetails/A1069717781</x:v>
      </x:c>
      <x:c r="M280" s="11" t="str">
        <x:v>Once Upon a Broken Heart</x:v>
      </x:c>
      <x:c r="N280" s="11" t="str">
        <x:v>Full verified</x:v>
      </x:c>
      <x:c r="O280" s="11" t="str">
        <x:v>Relevant German edition used; broad genre standardized for analysis.</x:v>
      </x:c>
    </x:row>
    <x:row r="281">
      <x:c r="A281" s="11" t="str">
        <x:v>Die Tribute von Panem L. Der Tag bricht an</x:v>
      </x:c>
      <x:c r="B281" s="11" t="str">
        <x:v>Suzanne Collins</x:v>
      </x:c>
      <x:c r="C281" s="11" t="str">
        <x:v>978-3-7512-0716-4</x:v>
      </x:c>
      <x:c r="D281" s="11" t="str">
        <x:v>Oetinger</x:v>
      </x:c>
      <x:c r="E281" s="11" t="str">
        <x:v>YA / Dystopian</x:v>
      </x:c>
      <x:c r="F281" s="11" t="str">
        <x:v>2025-03-18</x:v>
      </x:c>
      <x:c r="G281" s="14"/>
      <x:c r="H281" s="11" t="str">
        <x:v>Hardcover</x:v>
      </x:c>
      <x:c r="I281" s="11" t="str">
        <x:v>Yes</x:v>
      </x:c>
      <x:c r="J281" s="11" t="n">
        <x:v>5</x:v>
      </x:c>
      <x:c r="K281" s="11" t="str">
        <x:v>No</x:v>
      </x:c>
      <x:c r="L281" s="11" t="str">
        <x:v>https://www.oetinger.de/buch/die-tribute-von-panem-l-der-tag-bricht/9783751207164</x:v>
      </x:c>
      <x:c r="M281" s="11" t="str">
        <x:v>Die Tribute von Panem</x:v>
      </x:c>
      <x:c r="N281" s="11" t="str">
        <x:v>Full verified</x:v>
      </x:c>
      <x:c r="O281" s="11" t="str">
        <x:v>Relevant chart-era edition used; broad genre standardized for analysis.</x:v>
      </x:c>
    </x:row>
    <x:row r="282">
      <x:c r="A282" s="11" t="str">
        <x:v>Imagine Me</x:v>
      </x:c>
      <x:c r="B282" s="11" t="str">
        <x:v>Tahereh Mafi</x:v>
      </x:c>
      <x:c r="C282" s="11" t="str">
        <x:v>978-3-570-31643-6</x:v>
      </x:c>
      <x:c r="D282" s="11" t="str">
        <x:v>cbt</x:v>
      </x:c>
      <x:c r="E282" s="11" t="str">
        <x:v>YA Fantasy / Dystopian</x:v>
      </x:c>
      <x:c r="F282" s="11" t="str">
        <x:v>2024-03-13</x:v>
      </x:c>
      <x:c r="G282" s="14" t="n">
        <x:v>12</x:v>
      </x:c>
      <x:c r="H282" s="11" t="str">
        <x:v>Taschenbuch</x:v>
      </x:c>
      <x:c r="I282" s="11" t="str">
        <x:v>Yes</x:v>
      </x:c>
      <x:c r="J282" s="11" t="n">
        <x:v>6</x:v>
      </x:c>
      <x:c r="K282" s="11" t="str">
        <x:v>No</x:v>
      </x:c>
      <x:c r="L282" s="11" t="str">
        <x:v>https://www.buch-ka.de/Imagine-Me/9783570316436</x:v>
      </x:c>
      <x:c r="M282" s="11" t="str">
        <x:v>Shatter Me</x:v>
      </x:c>
      <x:c r="N282" s="11" t="str">
        <x:v>Full verified</x:v>
      </x:c>
      <x:c r="O282" s="11" t="str">
        <x:v>Relevant German edition used; broad genre standardized for analysis.</x:v>
      </x:c>
    </x:row>
    <x:row r="283">
      <x:c r="A283" s="11" t="str">
        <x:v>Release Me</x:v>
      </x:c>
      <x:c r="B283" s="11" t="str">
        <x:v>Tahereh Mafi</x:v>
      </x:c>
      <x:c r="C283" s="11" t="str">
        <x:v>978-3-570-16779-3</x:v>
      </x:c>
      <x:c r="D283" s="11" t="str">
        <x:v>cbj</x:v>
      </x:c>
      <x:c r="E283" s="11" t="str">
        <x:v>YA Fantasy / Dystopian</x:v>
      </x:c>
      <x:c r="F283" s="11" t="str">
        <x:v>2026-04-16</x:v>
      </x:c>
      <x:c r="G283" s="14" t="n">
        <x:v>20</x:v>
      </x:c>
      <x:c r="H283" s="11" t="str">
        <x:v>Hardcover</x:v>
      </x:c>
      <x:c r="I283" s="11" t="str">
        <x:v>Yes</x:v>
      </x:c>
      <x:c r="J283" s="11" t="n">
        <x:v>2</x:v>
      </x:c>
      <x:c r="K283" s="11" t="str">
        <x:v>No</x:v>
      </x:c>
      <x:c r="L283" s="11" t="str">
        <x:v>https://www.thalia.de/shop/home/artikeldetails/A1077078119</x:v>
      </x:c>
      <x:c r="M283" s="11" t="str">
        <x:v>Shatter Me: The New Republic</x:v>
      </x:c>
      <x:c r="N283" s="11" t="str">
        <x:v>Full verified</x:v>
      </x:c>
      <x:c r="O283" s="11" t="str">
        <x:v>Relevant chart-era edition used; broad genre standardized for analysis.</x:v>
      </x:c>
    </x:row>
    <x:row r="284">
      <x:c r="A284" s="11" t="str">
        <x:v>Shatter Me</x:v>
      </x:c>
      <x:c r="B284" s="11" t="str">
        <x:v>Tahereh Mafi</x:v>
      </x:c>
      <x:c r="C284" s="11" t="str">
        <x:v>978-3-570-31638-2</x:v>
      </x:c>
      <x:c r="D284" s="11" t="str">
        <x:v>cbt</x:v>
      </x:c>
      <x:c r="E284" s="11" t="str">
        <x:v>YA Fantasy / Dystopian</x:v>
      </x:c>
      <x:c r="F284" s="11" t="str">
        <x:v>2023-05-11</x:v>
      </x:c>
      <x:c r="G284" s="14" t="n">
        <x:v>12</x:v>
      </x:c>
      <x:c r="H284" s="11" t="str">
        <x:v>Paperback</x:v>
      </x:c>
      <x:c r="I284" s="11" t="str">
        <x:v>Yes</x:v>
      </x:c>
      <x:c r="J284" s="11" t="n">
        <x:v>1</x:v>
      </x:c>
      <x:c r="K284" s="11" t="str">
        <x:v>No</x:v>
      </x:c>
      <x:c r="L284" s="11" t="str">
        <x:v>https://d-nb.info/1283473968/34</x:v>
      </x:c>
      <x:c r="M284" s="11" t="str">
        <x:v>Shatter Me</x:v>
      </x:c>
      <x:c r="N284" s="11" t="str">
        <x:v>Full verified</x:v>
      </x:c>
      <x:c r="O284" s="11" t="str">
        <x:v>Genre is a standardized analytical category for this project.</x:v>
      </x:c>
    </x:row>
    <x:row r="285">
      <x:c r="A285" s="11" t="str">
        <x:v>Watch Me - Ein Shatter-Me-Roman</x:v>
      </x:c>
      <x:c r="B285" s="11" t="str">
        <x:v>Tahereh Mafi</x:v>
      </x:c>
      <x:c r="C285" s="11" t="str">
        <x:v>978-3-570-16767-0</x:v>
      </x:c>
      <x:c r="D285" s="11" t="str">
        <x:v>cbj</x:v>
      </x:c>
      <x:c r="E285" s="11" t="str">
        <x:v>YA Fantasy / Dystopian</x:v>
      </x:c>
      <x:c r="F285" s="11" t="str">
        <x:v>2025-04-16</x:v>
      </x:c>
      <x:c r="G285" s="14" t="n">
        <x:v>20</x:v>
      </x:c>
      <x:c r="H285" s="11" t="str">
        <x:v>Hardcover</x:v>
      </x:c>
      <x:c r="I285" s="11" t="str">
        <x:v>Yes</x:v>
      </x:c>
      <x:c r="J285" s="11" t="n">
        <x:v>1</x:v>
      </x:c>
      <x:c r="K285" s="11" t="str">
        <x:v>No</x:v>
      </x:c>
      <x:c r="L285" s="11" t="str">
        <x:v>https://www.thalia.de/shop/home/suchartikel/EAN9783570167670</x:v>
      </x:c>
      <x:c r="M285" s="11" t="str">
        <x:v>Shatter Me: The New Republic</x:v>
      </x:c>
      <x:c r="N285" s="11" t="str">
        <x:v>Full verified</x:v>
      </x:c>
      <x:c r="O285" s="11" t="str">
        <x:v>Relevant chart-era edition used; broad genre standardized for analysis.</x:v>
      </x:c>
    </x:row>
    <x:row r="286">
      <x:c r="A286" s="11" t="str">
        <x:v>»Mama, bitte lern Deutsch«</x:v>
      </x:c>
      <x:c r="B286" s="11" t="str">
        <x:v>Tahsim Durgun</x:v>
      </x:c>
      <x:c r="C286" s="11" t="str">
        <x:v>978-3-426-56114-0</x:v>
      </x:c>
      <x:c r="D286" s="11" t="str">
        <x:v>Droemer / Knaur</x:v>
      </x:c>
      <x:c r="E286" s="11" t="str">
        <x:v>Memoir / Social Commentary</x:v>
      </x:c>
      <x:c r="F286" s="11" t="str">
        <x:v>2025-03-03</x:v>
      </x:c>
      <x:c r="G286" s="14" t="n">
        <x:v>18</x:v>
      </x:c>
      <x:c r="H286" s="11" t="str">
        <x:v>Hardcover</x:v>
      </x:c>
      <x:c r="I286" s="11" t="str">
        <x:v>No</x:v>
      </x:c>
      <x:c r="J286" s="11"/>
      <x:c r="K286" s="11" t="str">
        <x:v>No</x:v>
      </x:c>
      <x:c r="L286" s="11" t="str">
        <x:v>https://www.kellereiladen.de/mama-bitte-lern-deutsch-9783426561140</x:v>
      </x:c>
      <x:c r="M286" s="11"/>
      <x:c r="N286" s="11" t="str">
        <x:v>Full verified</x:v>
      </x:c>
      <x:c r="O286" s="11" t="str">
        <x:v>Relevant chart-era edition used; broad genre standardized for analysis.</x:v>
      </x:c>
    </x:row>
    <x:row r="287">
      <x:c r="A287" s="11" t="str">
        <x:v>Pretty Scandalous - Heißer als Rache</x:v>
      </x:c>
      <x:c r="B287" s="11" t="str">
        <x:v>Tami Fischer</x:v>
      </x:c>
      <x:c r="C287" s="11" t="str">
        <x:v>978-3-7341-1263-8</x:v>
      </x:c>
      <x:c r="D287" s="11" t="str">
        <x:v>Blanvalet</x:v>
      </x:c>
      <x:c r="E287" s="11" t="str">
        <x:v>Romance / New Adult</x:v>
      </x:c>
      <x:c r="F287" s="11" t="str">
        <x:v>2024-03-13</x:v>
      </x:c>
      <x:c r="G287" s="14" t="n">
        <x:v>16</x:v>
      </x:c>
      <x:c r="H287" s="11" t="str">
        <x:v>Paperback</x:v>
      </x:c>
      <x:c r="I287" s="11" t="str">
        <x:v>Yes</x:v>
      </x:c>
      <x:c r="J287" s="11" t="n">
        <x:v>1</x:v>
      </x:c>
      <x:c r="K287" s="11" t="str">
        <x:v>No</x:v>
      </x:c>
      <x:c r="L287" s="11" t="str">
        <x:v>https://www.thalia.de/shop/home/artikeldetails/A1070058877</x:v>
      </x:c>
      <x:c r="M287" s="11" t="str">
        <x:v>Manhattan Elite</x:v>
      </x:c>
      <x:c r="N287" s="11" t="str">
        <x:v>Full verified</x:v>
      </x:c>
      <x:c r="O287" s="11" t="str">
        <x:v>Relevant German edition used; broad genre standardized for analysis.</x:v>
      </x:c>
    </x:row>
    <x:row r="288">
      <x:c r="A288" s="11" t="str">
        <x:v>Alea Aquarius 10. Der Stern des Schicksals</x:v>
      </x:c>
      <x:c r="B288" s="11" t="str">
        <x:v>Tanya Stewner</x:v>
      </x:c>
      <x:c r="C288" s="11" t="str">
        <x:v>978-3-7891-0766-5</x:v>
      </x:c>
      <x:c r="D288" s="11" t="str">
        <x:v>Oetinger</x:v>
      </x:c>
      <x:c r="E288" s="11" t="str">
        <x:v>Fantasy / Children's &amp; YA</x:v>
      </x:c>
      <x:c r="F288" s="11" t="str">
        <x:v>2025-09-26</x:v>
      </x:c>
      <x:c r="G288" s="14" t="n">
        <x:v>18</x:v>
      </x:c>
      <x:c r="H288" s="11" t="str">
        <x:v>Hardcover</x:v>
      </x:c>
      <x:c r="I288" s="11" t="str">
        <x:v>Yes</x:v>
      </x:c>
      <x:c r="J288" s="11" t="n">
        <x:v>10</x:v>
      </x:c>
      <x:c r="K288" s="11" t="str">
        <x:v>No</x:v>
      </x:c>
      <x:c r="L288" s="11" t="str">
        <x:v>https://www.osiander.de/shop/home/artikeldetails/A1074373434</x:v>
      </x:c>
      <x:c r="M288" s="11" t="str">
        <x:v>Alea Aquarius</x:v>
      </x:c>
      <x:c r="N288" s="11" t="str">
        <x:v>Full verified</x:v>
      </x:c>
      <x:c r="O288" s="11" t="str">
        <x:v>Relevant chart-era edition used; broad genre standardized for analysis.</x:v>
      </x:c>
    </x:row>
    <x:row r="289">
      <x:c r="A289" s="11" t="str">
        <x:v>Monas Augen - Eine Reise zu den schönsten Kunstwerken unserer Zeit</x:v>
      </x:c>
      <x:c r="B289" s="11" t="str">
        <x:v>Thomas Schlesser</x:v>
      </x:c>
      <x:c r="C289" s="11" t="str">
        <x:v>978-3-492-06800-0</x:v>
      </x:c>
      <x:c r="D289" s="11" t="str">
        <x:v>Piper</x:v>
      </x:c>
      <x:c r="E289" s="11" t="str">
        <x:v>Contemporary Fiction / Art</x:v>
      </x:c>
      <x:c r="F289" s="11" t="str">
        <x:v>2026-02-27</x:v>
      </x:c>
      <x:c r="G289" s="14" t="n">
        <x:v>18</x:v>
      </x:c>
      <x:c r="H289" s="11" t="str">
        <x:v>Klappenbroschur</x:v>
      </x:c>
      <x:c r="I289" s="11" t="str">
        <x:v>No</x:v>
      </x:c>
      <x:c r="J289" s="11"/>
      <x:c r="K289" s="11" t="str">
        <x:v>No</x:v>
      </x:c>
      <x:c r="L289" s="11" t="str">
        <x:v>https://www.piper.de/buecher/monas-augen-eine-reise-zu-den-schoensten-kunstwerken-unserer-zeit-isbn-978-3-492-06800-0</x:v>
      </x:c>
      <x:c r="M289" s="11"/>
      <x:c r="N289" s="11" t="str">
        <x:v>Full verified</x:v>
      </x:c>
      <x:c r="O289" s="11" t="str">
        <x:v>Relevant chart-era edition used; broad genre standardized for analysis.</x:v>
      </x:c>
    </x:row>
    <x:row r="290">
      <x:c r="A290" s="11" t="str">
        <x:v>99 Mind Hacks</x:v>
      </x:c>
      <x:c r="B290" s="11" t="str">
        <x:v>Timon Krause</x:v>
      </x:c>
      <x:c r="C290" s="11" t="str">
        <x:v>978-3-499-01878-7</x:v>
      </x:c>
      <x:c r="D290" s="11" t="str">
        <x:v>Rowohlt Taschenbuch</x:v>
      </x:c>
      <x:c r="E290" s="11" t="str">
        <x:v>Self-Help / Psychology</x:v>
      </x:c>
      <x:c r="F290" s="11" t="str">
        <x:v>2026-05-15</x:v>
      </x:c>
      <x:c r="G290" s="14" t="n">
        <x:v>16</x:v>
      </x:c>
      <x:c r="H290" s="11" t="str">
        <x:v>Klappenbroschur</x:v>
      </x:c>
      <x:c r="I290" s="11" t="str">
        <x:v>No</x:v>
      </x:c>
      <x:c r="J290" s="11"/>
      <x:c r="K290" s="11" t="str">
        <x:v>No</x:v>
      </x:c>
      <x:c r="L290" s="11" t="str">
        <x:v>https://www.rowohlt.de/buch/timon-krause-99-mind-hacks-9783499018787</x:v>
      </x:c>
      <x:c r="M290" s="11"/>
      <x:c r="N290" s="11" t="str">
        <x:v>Full verified</x:v>
      </x:c>
      <x:c r="O290" s="11" t="str">
        <x:v>Relevant chart-era edition used; broad genre standardized for analysis.</x:v>
      </x:c>
    </x:row>
    <x:row r="291">
      <x:c r="A291" s="11" t="str">
        <x:v>Sweet Nightmare</x:v>
      </x:c>
      <x:c r="B291" s="11" t="str">
        <x:v>Tracy Wolff</x:v>
      </x:c>
      <x:c r="C291" s="11" t="str">
        <x:v>978-3-423-76544-2</x:v>
      </x:c>
      <x:c r="D291" s="11" t="str">
        <x:v>dtv</x:v>
      </x:c>
      <x:c r="E291" s="11" t="str">
        <x:v>Fantasy / Romantasy</x:v>
      </x:c>
      <x:c r="F291" s="11" t="str">
        <x:v>2024-11-14</x:v>
      </x:c>
      <x:c r="G291" s="14" t="n">
        <x:v>24</x:v>
      </x:c>
      <x:c r="H291" s="11" t="str">
        <x:v>Hardcover</x:v>
      </x:c>
      <x:c r="I291" s="11" t="str">
        <x:v>Yes</x:v>
      </x:c>
      <x:c r="J291" s="11" t="n">
        <x:v>1</x:v>
      </x:c>
      <x:c r="K291" s="11" t="str">
        <x:v>No</x:v>
      </x:c>
      <x:c r="L291" s="11" t="str">
        <x:v>https://www.dtv.de/buch/sweet-nightmare</x:v>
      </x:c>
      <x:c r="M291" s="11" t="str">
        <x:v>Die Calder Academy Chroniken</x:v>
      </x:c>
      <x:c r="N291" s="11" t="str">
        <x:v>Full verified</x:v>
      </x:c>
      <x:c r="O291" s="11" t="str">
        <x:v>Added because November 2024 is partial but the title is confirmed.</x:v>
      </x:c>
    </x:row>
    <x:row r="292">
      <x:c r="A292" s="11" t="str">
        <x:v>Die Insel der Tausend Leuchttürme</x:v>
      </x:c>
      <x:c r="B292" s="11" t="str">
        <x:v>Walter Moers</x:v>
      </x:c>
      <x:c r="C292" s="11" t="str">
        <x:v>978-3-328-60006-0</x:v>
      </x:c>
      <x:c r="D292" s="11" t="str">
        <x:v>Penguin</x:v>
      </x:c>
      <x:c r="E292" s="11" t="str">
        <x:v>Fantasy</x:v>
      </x:c>
      <x:c r="F292" s="11" t="str">
        <x:v>2023-09-06</x:v>
      </x:c>
      <x:c r="G292" s="14" t="n">
        <x:v>42</x:v>
      </x:c>
      <x:c r="H292" s="11" t="str">
        <x:v>Hardcover</x:v>
      </x:c>
      <x:c r="I292" s="11" t="str">
        <x:v>Yes</x:v>
      </x:c>
      <x:c r="J292" s="11"/>
      <x:c r="K292" s="11" t="str">
        <x:v>No</x:v>
      </x:c>
      <x:c r="L292" s="11" t="str">
        <x:v>https://www.thalia.de/shop/home/artikeldetails/A1067466199</x:v>
      </x:c>
      <x:c r="M292" s="11" t="str">
        <x:v>Zamonien</x:v>
      </x:c>
      <x:c r="N292" s="11" t="str">
        <x:v>Full verified</x:v>
      </x:c>
      <x:c r="O292" s="11" t="str">
        <x:v>Relevant German edition used; broad genre standardized for analysis.</x:v>
      </x:c>
    </x:row>
    <x:row r="293">
      <x:c r="A293" s="11" t="str">
        <x:v>Qwert</x:v>
      </x:c>
      <x:c r="B293" s="11" t="str">
        <x:v>Walter Moers</x:v>
      </x:c>
      <x:c r="C293" s="11" t="str">
        <x:v>978-3-328-60427-3</x:v>
      </x:c>
      <x:c r="D293" s="11" t="str">
        <x:v>Penguin</x:v>
      </x:c>
      <x:c r="E293" s="11" t="str">
        <x:v>Fantasy</x:v>
      </x:c>
      <x:c r="F293" s="11" t="str">
        <x:v>2025-11-05</x:v>
      </x:c>
      <x:c r="G293" s="14" t="n">
        <x:v>42</x:v>
      </x:c>
      <x:c r="H293" s="11" t="str">
        <x:v>Hardcover</x:v>
      </x:c>
      <x:c r="I293" s="11" t="str">
        <x:v>Yes</x:v>
      </x:c>
      <x:c r="J293" s="11"/>
      <x:c r="K293" s="11" t="str">
        <x:v>No</x:v>
      </x:c>
      <x:c r="L293" s="11" t="str">
        <x:v>https://www.thalia.de/shop/home/artikeldetails/A1075997897</x:v>
      </x:c>
      <x:c r="M293" s="11" t="str">
        <x:v>Zamonien</x:v>
      </x:c>
      <x:c r="N293" s="11" t="str">
        <x:v>Full verified</x:v>
      </x:c>
      <x:c r="O293" s="11" t="str">
        <x:v>Relevant chart-era edition used; broad genre standardized for analysis.</x:v>
      </x:c>
    </x:row>
  </x:sheetData>
  <x:conditionalFormatting sqref="N2:N233">
    <x:cfRule type="expression" dxfId="0" priority="1">
      <x:formula>N2="Full verified"</x:formula>
    </x:cfRule>
    <x:cfRule type="expression" dxfId="1" priority="2">
      <x:formula>N2="Core verified"</x:formula>
    </x:cfRule>
    <x:cfRule type="expression" dxfId="2" priority="3">
      <x:formula>N2="Edition ambiguous"</x:formula>
    </x:cfRule>
  </x:conditionalFormatting>
  <x:conditionalFormatting sqref="N2:N293">
    <x:cfRule type="expression" dxfId="3" priority="4">
      <x:formula>N2="Full verified"</x:formula>
    </x:cfRule>
    <x:cfRule type="expression" dxfId="4" priority="5">
      <x:formula>N2="Core verified"</x:formula>
    </x:cfRule>
    <x:cfRule type="expression" dxfId="5" priority="6">
      <x:formula>N2="Edition ambiguous"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25" hidden="0" customWidth="1"/>
    <x:col min="12" max="12" width="19" hidden="0" customWidth="1"/>
    <x:col min="13" max="13" width="19" hidden="0" customWidth="1"/>
    <x:col min="14" max="14" width="15" hidden="0" customWidth="1"/>
    <x:col min="15" max="15" width="13" hidden="0" customWidth="1"/>
    <x:col min="16" max="16" width="16" hidden="0" customWidth="1"/>
    <x:col min="17" max="17" width="22" hidden="0" customWidth="1"/>
  </x:cols>
  <x:sheetData>
    <x:row r="1">
      <x:c r="A1" s="30" t="str">
        <x:v>canonical_title</x:v>
      </x:c>
      <x:c r="B1" s="30" t="str">
        <x:v>author</x:v>
      </x:c>
      <x:c r="C1" s="30" t="str">
        <x:v>months_in_chart</x:v>
      </x:c>
      <x:c r="D1" s="30" t="str">
        <x:v>best_rank</x:v>
      </x:c>
      <x:c r="E1" s="30" t="str">
        <x:v>avg_rank</x:v>
      </x:c>
      <x:c r="F1" s="30" t="str">
        <x:v>first_month_key</x:v>
      </x:c>
      <x:c r="G1" s="30" t="str">
        <x:v>last_month_key</x:v>
      </x:c>
      <x:c r="H1" s="30" t="str">
        <x:v>repeat_success</x:v>
      </x:c>
      <x:c r="I1" s="30" t="str">
        <x:v>years_active</x:v>
      </x:c>
      <x:c r="J1" s="30" t="str">
        <x:v>genre</x:v>
      </x:c>
      <x:c r="K1" s="30" t="str">
        <x:v>publisher</x:v>
      </x:c>
      <x:c r="L1" s="30" t="str">
        <x:v>publication_date_de</x:v>
      </x:c>
      <x:c r="M1" s="30" t="str">
        <x:v>isbn_13</x:v>
      </x:c>
      <x:c r="N1" s="30" t="str">
        <x:v>series_status</x:v>
      </x:c>
      <x:c r="O1" s="30" t="str">
        <x:v>series_number</x:v>
      </x:c>
      <x:c r="P1" s="30" t="str">
        <x:v>self_published</x:v>
      </x:c>
      <x:c r="Q1" s="30" t="str">
        <x:v>metadata_status</x:v>
      </x:c>
    </x:row>
    <x:row r="2">
      <x:c r="A2" s="11" t="str">
        <x:v>Just for the Summer</x:v>
      </x:c>
      <x:c r="B2" s="11" t="str">
        <x:v>Abby Jimenez</x:v>
      </x:c>
      <x:c r="C2" s="11" t="n">
        <x:f>COUNTIFS(Rankings_Master!$D$2:$D$788,A2,Rankings_Master!$E$2:$E$788,B2,Rankings_Master!$J$2:$J$788,"Yes")</x:f>
        <x:v>3</x:v>
      </x:c>
      <x:c r="D2" s="11" t="n">
        <x:f>IF(C2=0,"",MINIFS(Rankings_Master!$B$2:$B$788,Rankings_Master!$D$2:$D$788,A2,Rankings_Master!$E$2:$E$788,B2,Rankings_Master!$J$2:$J$788,"Yes"))</x:f>
        <x:v>10</x:v>
      </x:c>
      <x:c r="E2" s="14" t="n">
        <x:f>IF(C2=0,"",SUMIFS(Rankings_Master!$B$2:$B$788,Rankings_Master!$D$2:$D$788,A2,Rankings_Master!$E$2:$E$788,B2,Rankings_Master!$J$2:$J$788,"Yes")/C2)</x:f>
        <x:v>15.333333333333334</x:v>
      </x:c>
      <x:c r="F2" s="11" t="n">
        <x:f>IF(C2=0,"",MINIFS(Rankings_Master!$H$2:$H$788,Rankings_Master!$D$2:$D$788,A2,Rankings_Master!$E$2:$E$788,B2,Rankings_Master!$J$2:$J$788,"Yes"))</x:f>
        <x:v>202505</x:v>
      </x:c>
      <x:c r="G2" s="11" t="n">
        <x:f>IF(C2=0,"",MAXIFS(Rankings_Master!$H$2:$H$788,Rankings_Master!$D$2:$D$788,A2,Rankings_Master!$E$2:$E$788,B2,Rankings_Master!$J$2:$J$788,"Yes"))</x:f>
        <x:v>202508</x:v>
      </x:c>
      <x:c r="H2" s="11" t="str">
        <x:f>IF(C2=0,"Partial only",IF(C2&gt;=2,"Yes","No"))</x:f>
        <x:v>Yes</x:v>
      </x:c>
      <x:c r="I2" s="11" t="n">
        <x:f>IF(C2=0,"",INT(G2/100)-INT(F2/100)+1)</x:f>
        <x:v>1</x:v>
      </x:c>
      <x:c r="J2" s="11" t="str">
        <x:v>Romance / Contemporary</x:v>
      </x:c>
      <x:c r="K2" s="11" t="str">
        <x:v>dtv</x:v>
      </x:c>
      <x:c r="L2" s="11" t="str">
        <x:v>2025-05-15</x:v>
      </x:c>
      <x:c r="M2" s="11" t="str">
        <x:v>978-3-423-26428-0</x:v>
      </x:c>
      <x:c r="N2" s="11" t="str">
        <x:v>No</x:v>
      </x:c>
      <x:c r="O2" s="11"/>
      <x:c r="P2" s="11" t="str">
        <x:v>No</x:v>
      </x:c>
      <x:c r="Q2" s="11" t="str">
        <x:v>Full verified</x:v>
      </x:c>
    </x:row>
    <x:row r="3">
      <x:c r="A3" s="11" t="str">
        <x:v>The Games Gods Play - Schattenverführt</x:v>
      </x:c>
      <x:c r="B3" s="11" t="str">
        <x:v>Abigail Owen</x:v>
      </x:c>
      <x:c r="C3" s="11" t="n">
        <x:f>COUNTIFS(Rankings_Master!$D$2:$D$788,A3,Rankings_Master!$E$2:$E$788,B3,Rankings_Master!$J$2:$J$788,"Yes")</x:f>
        <x:v>1</x:v>
      </x:c>
      <x:c r="D3" s="11" t="n">
        <x:f>IF(C3=0,"",MINIFS(Rankings_Master!$B$2:$B$788,Rankings_Master!$D$2:$D$788,A3,Rankings_Master!$E$2:$E$788,B3,Rankings_Master!$J$2:$J$788,"Yes"))</x:f>
        <x:v>11</x:v>
      </x:c>
      <x:c r="E3" s="14" t="n">
        <x:f>IF(C3=0,"",SUMIFS(Rankings_Master!$B$2:$B$788,Rankings_Master!$D$2:$D$788,A3,Rankings_Master!$E$2:$E$788,B3,Rankings_Master!$J$2:$J$788,"Yes")/C3)</x:f>
        <x:v>11</x:v>
      </x:c>
      <x:c r="F3" s="11" t="n">
        <x:f>IF(C3=0,"",MINIFS(Rankings_Master!$H$2:$H$788,Rankings_Master!$D$2:$D$788,A3,Rankings_Master!$E$2:$E$788,B3,Rankings_Master!$J$2:$J$788,"Yes"))</x:f>
        <x:v>202410</x:v>
      </x:c>
      <x:c r="G3" s="11" t="n">
        <x:f>IF(C3=0,"",MAXIFS(Rankings_Master!$H$2:$H$788,Rankings_Master!$D$2:$D$788,A3,Rankings_Master!$E$2:$E$788,B3,Rankings_Master!$J$2:$J$788,"Yes"))</x:f>
        <x:v>202410</x:v>
      </x:c>
      <x:c r="H3" s="11" t="str">
        <x:f>IF(C3=0,"Partial only",IF(C3&gt;=2,"Yes","No"))</x:f>
        <x:v>No</x:v>
      </x:c>
      <x:c r="I3" s="11" t="n">
        <x:f>IF(C3=0,"",INT(G3/100)-INT(F3/100)+1)</x:f>
        <x:v>1</x:v>
      </x:c>
      <x:c r="J3" s="11" t="str">
        <x:v>Fantasy / Romantasy</x:v>
      </x:c>
      <x:c r="K3" s="11" t="str">
        <x:v>dtv</x:v>
      </x:c>
      <x:c r="L3" s="11" t="str">
        <x:v>2024-10-17</x:v>
      </x:c>
      <x:c r="M3" s="11" t="str">
        <x:v>978-3-423-28428-8</x:v>
      </x:c>
      <x:c r="N3" s="11" t="str">
        <x:v>Yes</x:v>
      </x:c>
      <x:c r="O3" s="11" t="n">
        <x:v>1</x:v>
      </x:c>
      <x:c r="P3" s="11" t="str">
        <x:v>No</x:v>
      </x:c>
      <x:c r="Q3" s="11" t="str">
        <x:v>Full verified</x:v>
      </x:c>
    </x:row>
    <x:row r="4">
      <x:c r="A4" s="11" t="str">
        <x:v>Belladonna - Die Berührung des Todes</x:v>
      </x:c>
      <x:c r="B4" s="11" t="str">
        <x:v>Adalyn Grace</x:v>
      </x:c>
      <x:c r="C4" s="11" t="n">
        <x:f>COUNTIFS(Rankings_Master!$D$2:$D$788,A4,Rankings_Master!$E$2:$E$788,B4,Rankings_Master!$J$2:$J$788,"Yes")</x:f>
        <x:v>1</x:v>
      </x:c>
      <x:c r="D4" s="11" t="n">
        <x:f>IF(C4=0,"",MINIFS(Rankings_Master!$B$2:$B$788,Rankings_Master!$D$2:$D$788,A4,Rankings_Master!$E$2:$E$788,B4,Rankings_Master!$J$2:$J$788,"Yes"))</x:f>
        <x:v>6</x:v>
      </x:c>
      <x:c r="E4" s="14" t="n">
        <x:f>IF(C4=0,"",SUMIFS(Rankings_Master!$B$2:$B$788,Rankings_Master!$D$2:$D$788,A4,Rankings_Master!$E$2:$E$788,B4,Rankings_Master!$J$2:$J$788,"Yes")/C4)</x:f>
        <x:v>6</x:v>
      </x:c>
      <x:c r="F4" s="11" t="n">
        <x:f>IF(C4=0,"",MINIFS(Rankings_Master!$H$2:$H$788,Rankings_Master!$D$2:$D$788,A4,Rankings_Master!$E$2:$E$788,B4,Rankings_Master!$J$2:$J$788,"Yes"))</x:f>
        <x:v>202401</x:v>
      </x:c>
      <x:c r="G4" s="11" t="n">
        <x:f>IF(C4=0,"",MAXIFS(Rankings_Master!$H$2:$H$788,Rankings_Master!$D$2:$D$788,A4,Rankings_Master!$E$2:$E$788,B4,Rankings_Master!$J$2:$J$788,"Yes"))</x:f>
        <x:v>202401</x:v>
      </x:c>
      <x:c r="H4" s="11" t="str">
        <x:f>IF(C4=0,"Partial only",IF(C4&gt;=2,"Yes","No"))</x:f>
        <x:v>No</x:v>
      </x:c>
      <x:c r="I4" s="11" t="n">
        <x:f>IF(C4=0,"",INT(G4/100)-INT(F4/100)+1)</x:f>
        <x:v>1</x:v>
      </x:c>
      <x:c r="J4" s="11" t="str">
        <x:v>Fantasy / YA</x:v>
      </x:c>
      <x:c r="K4" s="11" t="str">
        <x:v>arsEdition</x:v>
      </x:c>
      <x:c r="L4" s="11" t="str">
        <x:v>2024-01-05</x:v>
      </x:c>
      <x:c r="M4" s="11" t="str">
        <x:v>978-3-8458-5691-9</x:v>
      </x:c>
      <x:c r="N4" s="11" t="str">
        <x:v>Yes</x:v>
      </x:c>
      <x:c r="O4" s="11" t="n">
        <x:v>1</x:v>
      </x:c>
      <x:c r="P4" s="11" t="str">
        <x:v>No</x:v>
      </x:c>
      <x:c r="Q4" s="11" t="str">
        <x:v>Full verified</x:v>
      </x:c>
    </x:row>
    <x:row r="5">
      <x:c r="A5" s="11" t="str">
        <x:v>Wisteria - Die Liebe des Todes</x:v>
      </x:c>
      <x:c r="B5" s="11" t="str">
        <x:v>Adalyn Grace</x:v>
      </x:c>
      <x:c r="C5" s="11" t="n">
        <x:f>COUNTIFS(Rankings_Master!$D$2:$D$788,A5,Rankings_Master!$E$2:$E$788,B5,Rankings_Master!$J$2:$J$788,"Yes")</x:f>
        <x:v>2</x:v>
      </x:c>
      <x:c r="D5" s="11" t="n">
        <x:f>IF(C5=0,"",MINIFS(Rankings_Master!$B$2:$B$788,Rankings_Master!$D$2:$D$788,A5,Rankings_Master!$E$2:$E$788,B5,Rankings_Master!$J$2:$J$788,"Yes"))</x:f>
        <x:v>10</x:v>
      </x:c>
      <x:c r="E5" s="14" t="n">
        <x:f>IF(C5=0,"",SUMIFS(Rankings_Master!$B$2:$B$788,Rankings_Master!$D$2:$D$788,A5,Rankings_Master!$E$2:$E$788,B5,Rankings_Master!$J$2:$J$788,"Yes")/C5)</x:f>
        <x:v>14.5</x:v>
      </x:c>
      <x:c r="F5" s="11" t="n">
        <x:f>IF(C5=0,"",MINIFS(Rankings_Master!$H$2:$H$788,Rankings_Master!$D$2:$D$788,A5,Rankings_Master!$E$2:$E$788,B5,Rankings_Master!$J$2:$J$788,"Yes"))</x:f>
        <x:v>202501</x:v>
      </x:c>
      <x:c r="G5" s="11" t="n">
        <x:f>IF(C5=0,"",MAXIFS(Rankings_Master!$H$2:$H$788,Rankings_Master!$D$2:$D$788,A5,Rankings_Master!$E$2:$E$788,B5,Rankings_Master!$J$2:$J$788,"Yes"))</x:f>
        <x:v>202502</x:v>
      </x:c>
      <x:c r="H5" s="11" t="str">
        <x:f>IF(C5=0,"Partial only",IF(C5&gt;=2,"Yes","No"))</x:f>
        <x:v>Yes</x:v>
      </x:c>
      <x:c r="I5" s="11" t="n">
        <x:f>IF(C5=0,"",INT(G5/100)-INT(F5/100)+1)</x:f>
        <x:v>1</x:v>
      </x:c>
      <x:c r="J5" s="11" t="str">
        <x:v>Fantasy / YA</x:v>
      </x:c>
      <x:c r="K5" s="11" t="str">
        <x:v>arsEdition</x:v>
      </x:c>
      <x:c r="L5" s="11" t="str">
        <x:v>2025-01-27</x:v>
      </x:c>
      <x:c r="M5" s="11" t="str">
        <x:v>978-3-8458-5706-0</x:v>
      </x:c>
      <x:c r="N5" s="11" t="str">
        <x:v>Yes</x:v>
      </x:c>
      <x:c r="O5" s="11" t="n">
        <x:v>3</x:v>
      </x:c>
      <x:c r="P5" s="11" t="str">
        <x:v>No</x:v>
      </x:c>
      <x:c r="Q5" s="11" t="str">
        <x:v>Full verified</x:v>
      </x:c>
    </x:row>
    <x:row r="6">
      <x:c r="A6" s="11" t="str">
        <x:v>Bride - Die unergründliche Übernatürlichkeit der Liebe</x:v>
      </x:c>
      <x:c r="B6" s="11" t="str">
        <x:v>Ali Hazelwood</x:v>
      </x:c>
      <x:c r="C6" s="11" t="n">
        <x:f>COUNTIFS(Rankings_Master!$D$2:$D$788,A6,Rankings_Master!$E$2:$E$788,B6,Rankings_Master!$J$2:$J$788,"Yes")</x:f>
        <x:v>2</x:v>
      </x:c>
      <x:c r="D6" s="11" t="n">
        <x:f>IF(C6=0,"",MINIFS(Rankings_Master!$B$2:$B$788,Rankings_Master!$D$2:$D$788,A6,Rankings_Master!$E$2:$E$788,B6,Rankings_Master!$J$2:$J$788,"Yes"))</x:f>
        <x:v>4</x:v>
      </x:c>
      <x:c r="E6" s="14" t="n">
        <x:f>IF(C6=0,"",SUMIFS(Rankings_Master!$B$2:$B$788,Rankings_Master!$D$2:$D$788,A6,Rankings_Master!$E$2:$E$788,B6,Rankings_Master!$J$2:$J$788,"Yes")/C6)</x:f>
        <x:v>12</x:v>
      </x:c>
      <x:c r="F6" s="11" t="n">
        <x:f>IF(C6=0,"",MINIFS(Rankings_Master!$H$2:$H$788,Rankings_Master!$D$2:$D$788,A6,Rankings_Master!$E$2:$E$788,B6,Rankings_Master!$J$2:$J$788,"Yes"))</x:f>
        <x:v>202402</x:v>
      </x:c>
      <x:c r="G6" s="11" t="n">
        <x:f>IF(C6=0,"",MAXIFS(Rankings_Master!$H$2:$H$788,Rankings_Master!$D$2:$D$788,A6,Rankings_Master!$E$2:$E$788,B6,Rankings_Master!$J$2:$J$788,"Yes"))</x:f>
        <x:v>202404</x:v>
      </x:c>
      <x:c r="H6" s="11" t="str">
        <x:f>IF(C6=0,"Partial only",IF(C6&gt;=2,"Yes","No"))</x:f>
        <x:v>Yes</x:v>
      </x:c>
      <x:c r="I6" s="11" t="n">
        <x:f>IF(C6=0,"",INT(G6/100)-INT(F6/100)+1)</x:f>
        <x:v>1</x:v>
      </x:c>
      <x:c r="J6" s="11" t="str">
        <x:v>Fantasy / Romantasy</x:v>
      </x:c>
      <x:c r="K6" s="11" t="str">
        <x:v>Rütten &amp; Loening / Aufbau</x:v>
      </x:c>
      <x:c r="L6" s="11" t="str">
        <x:v>2024-02-14</x:v>
      </x:c>
      <x:c r="M6" s="11" t="str">
        <x:v>978-3-352-00997-6</x:v>
      </x:c>
      <x:c r="N6" s="11" t="str">
        <x:v>No</x:v>
      </x:c>
      <x:c r="O6" s="11"/>
      <x:c r="P6" s="11" t="str">
        <x:v>No</x:v>
      </x:c>
      <x:c r="Q6" s="11" t="str">
        <x:v>Full verified</x:v>
      </x:c>
    </x:row>
    <x:row r="7">
      <x:c r="A7" s="11" t="str">
        <x:v>Deep End - Die unausweichliche Unanständigkeit von Liebe</x:v>
      </x:c>
      <x:c r="B7" s="11" t="str">
        <x:v>Ali Hazelwood</x:v>
      </x:c>
      <x:c r="C7" s="11" t="n">
        <x:f>COUNTIFS(Rankings_Master!$D$2:$D$788,A7,Rankings_Master!$E$2:$E$788,B7,Rankings_Master!$J$2:$J$788,"Yes")</x:f>
        <x:v>1</x:v>
      </x:c>
      <x:c r="D7" s="11" t="n">
        <x:f>IF(C7=0,"",MINIFS(Rankings_Master!$B$2:$B$788,Rankings_Master!$D$2:$D$788,A7,Rankings_Master!$E$2:$E$788,B7,Rankings_Master!$J$2:$J$788,"Yes"))</x:f>
        <x:v>8</x:v>
      </x:c>
      <x:c r="E7" s="14" t="n">
        <x:f>IF(C7=0,"",SUMIFS(Rankings_Master!$B$2:$B$788,Rankings_Master!$D$2:$D$788,A7,Rankings_Master!$E$2:$E$788,B7,Rankings_Master!$J$2:$J$788,"Yes")/C7)</x:f>
        <x:v>8</x:v>
      </x:c>
      <x:c r="F7" s="11" t="n">
        <x:f>IF(C7=0,"",MINIFS(Rankings_Master!$H$2:$H$788,Rankings_Master!$D$2:$D$788,A7,Rankings_Master!$E$2:$E$788,B7,Rankings_Master!$J$2:$J$788,"Yes"))</x:f>
        <x:v>202502</x:v>
      </x:c>
      <x:c r="G7" s="11" t="n">
        <x:f>IF(C7=0,"",MAXIFS(Rankings_Master!$H$2:$H$788,Rankings_Master!$D$2:$D$788,A7,Rankings_Master!$E$2:$E$788,B7,Rankings_Master!$J$2:$J$788,"Yes"))</x:f>
        <x:v>202502</x:v>
      </x:c>
      <x:c r="H7" s="11" t="str">
        <x:f>IF(C7=0,"Partial only",IF(C7&gt;=2,"Yes","No"))</x:f>
        <x:v>No</x:v>
      </x:c>
      <x:c r="I7" s="11" t="n">
        <x:f>IF(C7=0,"",INT(G7/100)-INT(F7/100)+1)</x:f>
        <x:v>1</x:v>
      </x:c>
      <x:c r="J7" s="11" t="str">
        <x:v>Romance / New Adult</x:v>
      </x:c>
      <x:c r="K7" s="11" t="str">
        <x:v>Rütten &amp; Loening</x:v>
      </x:c>
      <x:c r="L7" s="11" t="str">
        <x:v>2025-02-04</x:v>
      </x:c>
      <x:c r="M7" s="11" t="str">
        <x:v>978-3-352-01008-8</x:v>
      </x:c>
      <x:c r="N7" s="11" t="str">
        <x:v>No</x:v>
      </x:c>
      <x:c r="O7" s="11"/>
      <x:c r="P7" s="11" t="str">
        <x:v>No</x:v>
      </x:c>
      <x:c r="Q7" s="11" t="str">
        <x:v>Full verified</x:v>
      </x:c>
    </x:row>
    <x:row r="8">
      <x:c r="A8" s="11" t="str">
        <x:v>Mate - Die unzumutbare Unmöglichkeit von Liebe</x:v>
      </x:c>
      <x:c r="B8" s="11" t="str">
        <x:v>Ali Hazelwood</x:v>
      </x:c>
      <x:c r="C8" s="11" t="n">
        <x:f>COUNTIFS(Rankings_Master!$D$2:$D$788,A8,Rankings_Master!$E$2:$E$788,B8,Rankings_Master!$J$2:$J$788,"Yes")</x:f>
        <x:v>1</x:v>
      </x:c>
      <x:c r="D8" s="11" t="n">
        <x:f>IF(C8=0,"",MINIFS(Rankings_Master!$B$2:$B$788,Rankings_Master!$D$2:$D$788,A8,Rankings_Master!$E$2:$E$788,B8,Rankings_Master!$J$2:$J$788,"Yes"))</x:f>
        <x:v>12</x:v>
      </x:c>
      <x:c r="E8" s="14" t="n">
        <x:f>IF(C8=0,"",SUMIFS(Rankings_Master!$B$2:$B$788,Rankings_Master!$D$2:$D$788,A8,Rankings_Master!$E$2:$E$788,B8,Rankings_Master!$J$2:$J$788,"Yes")/C8)</x:f>
        <x:v>12</x:v>
      </x:c>
      <x:c r="F8" s="11" t="n">
        <x:f>IF(C8=0,"",MINIFS(Rankings_Master!$H$2:$H$788,Rankings_Master!$D$2:$D$788,A8,Rankings_Master!$E$2:$E$788,B8,Rankings_Master!$J$2:$J$788,"Yes"))</x:f>
        <x:v>202510</x:v>
      </x:c>
      <x:c r="G8" s="11" t="n">
        <x:f>IF(C8=0,"",MAXIFS(Rankings_Master!$H$2:$H$788,Rankings_Master!$D$2:$D$788,A8,Rankings_Master!$E$2:$E$788,B8,Rankings_Master!$J$2:$J$788,"Yes"))</x:f>
        <x:v>202510</x:v>
      </x:c>
      <x:c r="H8" s="11" t="str">
        <x:f>IF(C8=0,"Partial only",IF(C8&gt;=2,"Yes","No"))</x:f>
        <x:v>No</x:v>
      </x:c>
      <x:c r="I8" s="11" t="n">
        <x:f>IF(C8=0,"",INT(G8/100)-INT(F8/100)+1)</x:f>
        <x:v>1</x:v>
      </x:c>
      <x:c r="J8" s="11" t="str">
        <x:v>Fantasy / Romance</x:v>
      </x:c>
      <x:c r="K8" s="11" t="str">
        <x:v>Rütten &amp; Loening / Aufbau</x:v>
      </x:c>
      <x:c r="L8" s="11" t="str">
        <x:v>2025-10-07</x:v>
      </x:c>
      <x:c r="M8" s="11" t="str">
        <x:v>978-3-352-01017-0</x:v>
      </x:c>
      <x:c r="N8" s="11" t="str">
        <x:v>No</x:v>
      </x:c>
      <x:c r="O8" s="11"/>
      <x:c r="P8" s="11" t="str">
        <x:v>No</x:v>
      </x:c>
      <x:c r="Q8" s="11" t="str">
        <x:v>Core verified</x:v>
      </x:c>
    </x:row>
    <x:row r="9">
      <x:c r="A9" s="11" t="str">
        <x:v>Problematic Summer Romance - Die hitzige Unzulässigkeit der Liebe</x:v>
      </x:c>
      <x:c r="B9" s="11" t="str">
        <x:v>Ali Hazelwood</x:v>
      </x:c>
      <x:c r="C9" s="11" t="n">
        <x:f>COUNTIFS(Rankings_Master!$D$2:$D$788,A9,Rankings_Master!$E$2:$E$788,B9,Rankings_Master!$J$2:$J$788,"Yes")</x:f>
        <x:v>2</x:v>
      </x:c>
      <x:c r="D9" s="11" t="n">
        <x:f>IF(C9=0,"",MINIFS(Rankings_Master!$B$2:$B$788,Rankings_Master!$D$2:$D$788,A9,Rankings_Master!$E$2:$E$788,B9,Rankings_Master!$J$2:$J$788,"Yes"))</x:f>
        <x:v>5</x:v>
      </x:c>
      <x:c r="E9" s="14" t="n">
        <x:f>IF(C9=0,"",SUMIFS(Rankings_Master!$B$2:$B$788,Rankings_Master!$D$2:$D$788,A9,Rankings_Master!$E$2:$E$788,B9,Rankings_Master!$J$2:$J$788,"Yes")/C9)</x:f>
        <x:v>9.5</x:v>
      </x:c>
      <x:c r="F9" s="11" t="n">
        <x:f>IF(C9=0,"",MINIFS(Rankings_Master!$H$2:$H$788,Rankings_Master!$D$2:$D$788,A9,Rankings_Master!$E$2:$E$788,B9,Rankings_Master!$J$2:$J$788,"Yes"))</x:f>
        <x:v>202507</x:v>
      </x:c>
      <x:c r="G9" s="11" t="n">
        <x:f>IF(C9=0,"",MAXIFS(Rankings_Master!$H$2:$H$788,Rankings_Master!$D$2:$D$788,A9,Rankings_Master!$E$2:$E$788,B9,Rankings_Master!$J$2:$J$788,"Yes"))</x:f>
        <x:v>202508</x:v>
      </x:c>
      <x:c r="H9" s="11" t="str">
        <x:f>IF(C9=0,"Partial only",IF(C9&gt;=2,"Yes","No"))</x:f>
        <x:v>Yes</x:v>
      </x:c>
      <x:c r="I9" s="11" t="n">
        <x:f>IF(C9=0,"",INT(G9/100)-INT(F9/100)+1)</x:f>
        <x:v>1</x:v>
      </x:c>
      <x:c r="J9" s="11" t="str">
        <x:v>Romance / Contemporary</x:v>
      </x:c>
      <x:c r="K9" s="11" t="str">
        <x:v>Rütten &amp; Loening / Aufbau</x:v>
      </x:c>
      <x:c r="L9" s="11" t="str">
        <x:v>2025-06-10</x:v>
      </x:c>
      <x:c r="M9" s="11" t="str">
        <x:v>978-3-352-01025-5</x:v>
      </x:c>
      <x:c r="N9" s="11" t="str">
        <x:v>No</x:v>
      </x:c>
      <x:c r="O9" s="11"/>
      <x:c r="P9" s="11" t="str">
        <x:v>No</x:v>
      </x:c>
      <x:c r="Q9" s="11" t="str">
        <x:v>Full verified</x:v>
      </x:c>
    </x:row>
    <x:row r="10">
      <x:c r="A10" s="11" t="str">
        <x:v>Two Can Play - Die spielerische Weiterentwicklung von Liebe</x:v>
      </x:c>
      <x:c r="B10" s="11" t="str">
        <x:v>Ali Hazelwood</x:v>
      </x:c>
      <x:c r="C10" s="11" t="n">
        <x:f>COUNTIFS(Rankings_Master!$D$2:$D$788,A10,Rankings_Master!$E$2:$E$788,B10,Rankings_Master!$J$2:$J$788,"Yes")</x:f>
        <x:v>1</x:v>
      </x:c>
      <x:c r="D10" s="11" t="n">
        <x:f>IF(C10=0,"",MINIFS(Rankings_Master!$B$2:$B$788,Rankings_Master!$D$2:$D$788,A10,Rankings_Master!$E$2:$E$788,B10,Rankings_Master!$J$2:$J$788,"Yes"))</x:f>
        <x:v>10</x:v>
      </x:c>
      <x:c r="E10" s="14" t="n">
        <x:f>IF(C10=0,"",SUMIFS(Rankings_Master!$B$2:$B$788,Rankings_Master!$D$2:$D$788,A10,Rankings_Master!$E$2:$E$788,B10,Rankings_Master!$J$2:$J$788,"Yes")/C10)</x:f>
        <x:v>10</x:v>
      </x:c>
      <x:c r="F10" s="11" t="n">
        <x:f>IF(C10=0,"",MINIFS(Rankings_Master!$H$2:$H$788,Rankings_Master!$D$2:$D$788,A10,Rankings_Master!$E$2:$E$788,B10,Rankings_Master!$J$2:$J$788,"Yes"))</x:f>
        <x:v>202602</x:v>
      </x:c>
      <x:c r="G10" s="11" t="n">
        <x:f>IF(C10=0,"",MAXIFS(Rankings_Master!$H$2:$H$788,Rankings_Master!$D$2:$D$788,A10,Rankings_Master!$E$2:$E$788,B10,Rankings_Master!$J$2:$J$788,"Yes"))</x:f>
        <x:v>202602</x:v>
      </x:c>
      <x:c r="H10" s="11" t="str">
        <x:f>IF(C10=0,"Partial only",IF(C10&gt;=2,"Yes","No"))</x:f>
        <x:v>No</x:v>
      </x:c>
      <x:c r="I10" s="11" t="n">
        <x:f>IF(C10=0,"",INT(G10/100)-INT(F10/100)+1)</x:f>
        <x:v>1</x:v>
      </x:c>
      <x:c r="J10" s="11" t="str">
        <x:v>Romance / Contemporary</x:v>
      </x:c>
      <x:c r="K10" s="11" t="str">
        <x:v>Rütten &amp; Loening</x:v>
      </x:c>
      <x:c r="L10" s="11" t="str">
        <x:v>2026-02-11</x:v>
      </x:c>
      <x:c r="M10" s="11" t="str">
        <x:v>978-3-352-01030-9</x:v>
      </x:c>
      <x:c r="N10" s="11" t="str">
        <x:v>No</x:v>
      </x:c>
      <x:c r="O10" s="11"/>
      <x:c r="P10" s="11" t="str">
        <x:v>No</x:v>
      </x:c>
      <x:c r="Q10" s="11" t="str">
        <x:v>Full verified</x:v>
      </x:c>
    </x:row>
    <x:row r="11">
      <x:c r="A11" s="11" t="str">
        <x:v>Heartstopper Volume 6</x:v>
      </x:c>
      <x:c r="B11" s="11" t="str">
        <x:v>Alice Oseman</x:v>
      </x:c>
      <x:c r="C11" s="11" t="n">
        <x:f>COUNTIFS(Rankings_Master!$D$2:$D$788,A11,Rankings_Master!$E$2:$E$788,B11,Rankings_Master!$J$2:$J$788,"Yes")</x:f>
        <x:v>1</x:v>
      </x:c>
      <x:c r="D11" s="11" t="n">
        <x:f>IF(C11=0,"",MINIFS(Rankings_Master!$B$2:$B$788,Rankings_Master!$D$2:$D$788,A11,Rankings_Master!$E$2:$E$788,B11,Rankings_Master!$J$2:$J$788,"Yes"))</x:f>
        <x:v>1</x:v>
      </x:c>
      <x:c r="E11" s="14" t="n">
        <x:f>IF(C11=0,"",SUMIFS(Rankings_Master!$B$2:$B$788,Rankings_Master!$D$2:$D$788,A11,Rankings_Master!$E$2:$E$788,B11,Rankings_Master!$J$2:$J$788,"Yes")/C11)</x:f>
        <x:v>1</x:v>
      </x:c>
      <x:c r="F11" s="11" t="n">
        <x:f>IF(C11=0,"",MINIFS(Rankings_Master!$H$2:$H$788,Rankings_Master!$D$2:$D$788,A11,Rankings_Master!$E$2:$E$788,B11,Rankings_Master!$J$2:$J$788,"Yes"))</x:f>
        <x:v>202607</x:v>
      </x:c>
      <x:c r="G11" s="11" t="n">
        <x:f>IF(C11=0,"",MAXIFS(Rankings_Master!$H$2:$H$788,Rankings_Master!$D$2:$D$788,A11,Rankings_Master!$E$2:$E$788,B11,Rankings_Master!$J$2:$J$788,"Yes"))</x:f>
        <x:v>202607</x:v>
      </x:c>
      <x:c r="H11" s="11" t="str">
        <x:f>IF(C11=0,"Partial only",IF(C11&gt;=2,"Yes","No"))</x:f>
        <x:v>No</x:v>
      </x:c>
      <x:c r="I11" s="11" t="n">
        <x:f>IF(C11=0,"",INT(G11/100)-INT(F11/100)+1)</x:f>
        <x:v>1</x:v>
      </x:c>
      <x:c r="J11" s="11" t="str">
        <x:v>YA Graphic Novel / LGBTQ+</x:v>
      </x:c>
      <x:c r="K11" s="11" t="str">
        <x:v>Loewe</x:v>
      </x:c>
      <x:c r="L11" s="11" t="str">
        <x:v>2026-07-23</x:v>
      </x:c>
      <x:c r="M11" s="11" t="str">
        <x:v>978-3-7432-1834-5</x:v>
      </x:c>
      <x:c r="N11" s="11" t="str">
        <x:v>Yes</x:v>
      </x:c>
      <x:c r="O11" s="11" t="n">
        <x:v>6</x:v>
      </x:c>
      <x:c r="P11" s="11" t="str">
        <x:v>No</x:v>
      </x:c>
      <x:c r="Q11" s="11" t="str">
        <x:v>Full verified</x:v>
      </x:c>
    </x:row>
    <x:row r="12">
      <x:c r="A12" s="11" t="str">
        <x:v>King of Envy</x:v>
      </x:c>
      <x:c r="B12" s="11" t="str">
        <x:v>Ana Huang</x:v>
      </x:c>
      <x:c r="C12" s="11" t="n">
        <x:f>COUNTIFS(Rankings_Master!$D$2:$D$788,A12,Rankings_Master!$E$2:$E$788,B12,Rankings_Master!$J$2:$J$788,"Yes")</x:f>
        <x:v>1</x:v>
      </x:c>
      <x:c r="D12" s="11" t="n">
        <x:f>IF(C12=0,"",MINIFS(Rankings_Master!$B$2:$B$788,Rankings_Master!$D$2:$D$788,A12,Rankings_Master!$E$2:$E$788,B12,Rankings_Master!$J$2:$J$788,"Yes"))</x:f>
        <x:v>12</x:v>
      </x:c>
      <x:c r="E12" s="14" t="n">
        <x:f>IF(C12=0,"",SUMIFS(Rankings_Master!$B$2:$B$788,Rankings_Master!$D$2:$D$788,A12,Rankings_Master!$E$2:$E$788,B12,Rankings_Master!$J$2:$J$788,"Yes")/C12)</x:f>
        <x:v>12</x:v>
      </x:c>
      <x:c r="F12" s="11" t="n">
        <x:f>IF(C12=0,"",MINIFS(Rankings_Master!$H$2:$H$788,Rankings_Master!$D$2:$D$788,A12,Rankings_Master!$E$2:$E$788,B12,Rankings_Master!$J$2:$J$788,"Yes"))</x:f>
        <x:v>202505</x:v>
      </x:c>
      <x:c r="G12" s="11" t="n">
        <x:f>IF(C12=0,"",MAXIFS(Rankings_Master!$H$2:$H$788,Rankings_Master!$D$2:$D$788,A12,Rankings_Master!$E$2:$E$788,B12,Rankings_Master!$J$2:$J$788,"Yes"))</x:f>
        <x:v>202505</x:v>
      </x:c>
      <x:c r="H12" s="11" t="str">
        <x:f>IF(C12=0,"Partial only",IF(C12&gt;=2,"Yes","No"))</x:f>
        <x:v>No</x:v>
      </x:c>
      <x:c r="I12" s="11" t="n">
        <x:f>IF(C12=0,"",INT(G12/100)-INT(F12/100)+1)</x:f>
        <x:v>1</x:v>
      </x:c>
      <x:c r="J12" s="11" t="str">
        <x:v>Romance / New Adult</x:v>
      </x:c>
      <x:c r="K12" s="11" t="str">
        <x:v>LYX</x:v>
      </x:c>
      <x:c r="L12" s="11" t="str">
        <x:v>2025-10-31</x:v>
      </x:c>
      <x:c r="M12" s="11" t="str">
        <x:v>978-3-7363-2556-2</x:v>
      </x:c>
      <x:c r="N12" s="11" t="str">
        <x:v>Yes</x:v>
      </x:c>
      <x:c r="O12" s="11" t="n">
        <x:v>5</x:v>
      </x:c>
      <x:c r="P12" s="11" t="str">
        <x:v>No</x:v>
      </x:c>
      <x:c r="Q12" s="11" t="str">
        <x:v>Edition ambiguous</x:v>
      </x:c>
    </x:row>
    <x:row r="13">
      <x:c r="A13" s="11" t="str">
        <x:v>King of Gluttony</x:v>
      </x:c>
      <x:c r="B13" s="11" t="str">
        <x:v>Ana Huang</x:v>
      </x:c>
      <x:c r="C13" s="11" t="n">
        <x:f>COUNTIFS(Rankings_Master!$D$2:$D$788,A13,Rankings_Master!$E$2:$E$788,B13,Rankings_Master!$J$2:$J$788,"Yes")</x:f>
        <x:v>2</x:v>
      </x:c>
      <x:c r="D13" s="11" t="n">
        <x:f>IF(C13=0,"",MINIFS(Rankings_Master!$B$2:$B$788,Rankings_Master!$D$2:$D$788,A13,Rankings_Master!$E$2:$E$788,B13,Rankings_Master!$J$2:$J$788,"Yes"))</x:f>
        <x:v>4</x:v>
      </x:c>
      <x:c r="E13" s="14" t="n">
        <x:f>IF(C13=0,"",SUMIFS(Rankings_Master!$B$2:$B$788,Rankings_Master!$D$2:$D$788,A13,Rankings_Master!$E$2:$E$788,B13,Rankings_Master!$J$2:$J$788,"Yes")/C13)</x:f>
        <x:v>5</x:v>
      </x:c>
      <x:c r="F13" s="11" t="n">
        <x:f>IF(C13=0,"",MINIFS(Rankings_Master!$H$2:$H$788,Rankings_Master!$D$2:$D$788,A13,Rankings_Master!$E$2:$E$788,B13,Rankings_Master!$J$2:$J$788,"Yes"))</x:f>
        <x:v>202604</x:v>
      </x:c>
      <x:c r="G13" s="11" t="n">
        <x:f>IF(C13=0,"",MAXIFS(Rankings_Master!$H$2:$H$788,Rankings_Master!$D$2:$D$788,A13,Rankings_Master!$E$2:$E$788,B13,Rankings_Master!$J$2:$J$788,"Yes"))</x:f>
        <x:v>202605</x:v>
      </x:c>
      <x:c r="H13" s="11" t="str">
        <x:f>IF(C13=0,"Partial only",IF(C13&gt;=2,"Yes","No"))</x:f>
        <x:v>Yes</x:v>
      </x:c>
      <x:c r="I13" s="11" t="n">
        <x:f>IF(C13=0,"",INT(G13/100)-INT(F13/100)+1)</x:f>
        <x:v>1</x:v>
      </x:c>
      <x:c r="J13" s="11" t="str">
        <x:v>Romance / New Adult</x:v>
      </x:c>
      <x:c r="K13" s="11" t="str">
        <x:v>LYX</x:v>
      </x:c>
      <x:c r="L13" s="11" t="str">
        <x:v>2026-11-02</x:v>
      </x:c>
      <x:c r="M13" s="11" t="str">
        <x:v>978-3-7363-2843-3</x:v>
      </x:c>
      <x:c r="N13" s="11" t="str">
        <x:v>Yes</x:v>
      </x:c>
      <x:c r="O13" s="11" t="n">
        <x:v>6</x:v>
      </x:c>
      <x:c r="P13" s="11" t="str">
        <x:v>No</x:v>
      </x:c>
      <x:c r="Q13" s="11" t="str">
        <x:v>Edition ambiguous</x:v>
      </x:c>
    </x:row>
    <x:row r="14">
      <x:c r="A14" s="11" t="str">
        <x:v>King of Greed</x:v>
      </x:c>
      <x:c r="B14" s="11" t="str">
        <x:v>Ana Huang</x:v>
      </x:c>
      <x:c r="C14" s="11" t="n">
        <x:f>COUNTIFS(Rankings_Master!$D$2:$D$788,A14,Rankings_Master!$E$2:$E$788,B14,Rankings_Master!$J$2:$J$788,"Yes")</x:f>
        <x:v>2</x:v>
      </x:c>
      <x:c r="D14" s="11" t="n">
        <x:f>IF(C14=0,"",MINIFS(Rankings_Master!$B$2:$B$788,Rankings_Master!$D$2:$D$788,A14,Rankings_Master!$E$2:$E$788,B14,Rankings_Master!$J$2:$J$788,"Yes"))</x:f>
        <x:v>10</x:v>
      </x:c>
      <x:c r="E14" s="14" t="n">
        <x:f>IF(C14=0,"",SUMIFS(Rankings_Master!$B$2:$B$788,Rankings_Master!$D$2:$D$788,A14,Rankings_Master!$E$2:$E$788,B14,Rankings_Master!$J$2:$J$788,"Yes")/C14)</x:f>
        <x:v>11.5</x:v>
      </x:c>
      <x:c r="F14" s="11" t="n">
        <x:f>IF(C14=0,"",MINIFS(Rankings_Master!$H$2:$H$788,Rankings_Master!$D$2:$D$788,A14,Rankings_Master!$E$2:$E$788,B14,Rankings_Master!$J$2:$J$788,"Yes"))</x:f>
        <x:v>202405</x:v>
      </x:c>
      <x:c r="G14" s="11" t="n">
        <x:f>IF(C14=0,"",MAXIFS(Rankings_Master!$H$2:$H$788,Rankings_Master!$D$2:$D$788,A14,Rankings_Master!$E$2:$E$788,B14,Rankings_Master!$J$2:$J$788,"Yes"))</x:f>
        <x:v>202406</x:v>
      </x:c>
      <x:c r="H14" s="11" t="str">
        <x:f>IF(C14=0,"Partial only",IF(C14&gt;=2,"Yes","No"))</x:f>
        <x:v>Yes</x:v>
      </x:c>
      <x:c r="I14" s="11" t="n">
        <x:f>IF(C14=0,"",INT(G14/100)-INT(F14/100)+1)</x:f>
        <x:v>1</x:v>
      </x:c>
      <x:c r="J14" s="11" t="str">
        <x:v>Romance / New Adult</x:v>
      </x:c>
      <x:c r="K14" s="11" t="str">
        <x:v>LYX</x:v>
      </x:c>
      <x:c r="L14" s="11" t="str">
        <x:v>2024-05-31</x:v>
      </x:c>
      <x:c r="M14" s="11" t="str">
        <x:v>978-3-7363-2231-8</x:v>
      </x:c>
      <x:c r="N14" s="11" t="str">
        <x:v>Yes</x:v>
      </x:c>
      <x:c r="O14" s="11" t="n">
        <x:v>3</x:v>
      </x:c>
      <x:c r="P14" s="11" t="str">
        <x:v>No</x:v>
      </x:c>
      <x:c r="Q14" s="11" t="str">
        <x:v>Full verified</x:v>
      </x:c>
    </x:row>
    <x:row r="15">
      <x:c r="A15" s="11" t="str">
        <x:v>King of Sloth</x:v>
      </x:c>
      <x:c r="B15" s="11" t="str">
        <x:v>Ana Huang</x:v>
      </x:c>
      <x:c r="C15" s="11" t="n">
        <x:f>COUNTIFS(Rankings_Master!$D$2:$D$788,A15,Rankings_Master!$E$2:$E$788,B15,Rankings_Master!$J$2:$J$788,"Yes")</x:f>
        <x:v>1</x:v>
      </x:c>
      <x:c r="D15" s="11" t="n">
        <x:f>IF(C15=0,"",MINIFS(Rankings_Master!$B$2:$B$788,Rankings_Master!$D$2:$D$788,A15,Rankings_Master!$E$2:$E$788,B15,Rankings_Master!$J$2:$J$788,"Yes"))</x:f>
        <x:v>5</x:v>
      </x:c>
      <x:c r="E15" s="14" t="n">
        <x:f>IF(C15=0,"",SUMIFS(Rankings_Master!$B$2:$B$788,Rankings_Master!$D$2:$D$788,A15,Rankings_Master!$E$2:$E$788,B15,Rankings_Master!$J$2:$J$788,"Yes")/C15)</x:f>
        <x:v>5</x:v>
      </x:c>
      <x:c r="F15" s="11" t="n">
        <x:f>IF(C15=0,"",MINIFS(Rankings_Master!$H$2:$H$788,Rankings_Master!$D$2:$D$788,A15,Rankings_Master!$E$2:$E$788,B15,Rankings_Master!$J$2:$J$788,"Yes"))</x:f>
        <x:v>202405</x:v>
      </x:c>
      <x:c r="G15" s="11" t="n">
        <x:f>IF(C15=0,"",MAXIFS(Rankings_Master!$H$2:$H$788,Rankings_Master!$D$2:$D$788,A15,Rankings_Master!$E$2:$E$788,B15,Rankings_Master!$J$2:$J$788,"Yes"))</x:f>
        <x:v>202405</x:v>
      </x:c>
      <x:c r="H15" s="11" t="str">
        <x:f>IF(C15=0,"Partial only",IF(C15&gt;=2,"Yes","No"))</x:f>
        <x:v>No</x:v>
      </x:c>
      <x:c r="I15" s="11" t="n">
        <x:f>IF(C15=0,"",INT(G15/100)-INT(F15/100)+1)</x:f>
        <x:v>1</x:v>
      </x:c>
      <x:c r="J15" s="11" t="str">
        <x:v>Romance / New Adult</x:v>
      </x:c>
      <x:c r="K15" s="11" t="str">
        <x:v>LYX</x:v>
      </x:c>
      <x:c r="L15" s="11" t="str">
        <x:v>2024-10-25</x:v>
      </x:c>
      <x:c r="M15" s="11" t="str">
        <x:v>978-3-7363-2354-4</x:v>
      </x:c>
      <x:c r="N15" s="11" t="str">
        <x:v>Yes</x:v>
      </x:c>
      <x:c r="O15" s="11" t="n">
        <x:v>4</x:v>
      </x:c>
      <x:c r="P15" s="11" t="str">
        <x:v>No</x:v>
      </x:c>
      <x:c r="Q15" s="11" t="str">
        <x:v>Full verified</x:v>
      </x:c>
    </x:row>
    <x:row r="16">
      <x:c r="A16" s="11" t="str">
        <x:v>King of Wrath</x:v>
      </x:c>
      <x:c r="B16" s="11" t="str">
        <x:v>Ana Huang</x:v>
      </x:c>
      <x:c r="C16" s="11" t="n">
        <x:f>COUNTIFS(Rankings_Master!$D$2:$D$788,A16,Rankings_Master!$E$2:$E$788,B16,Rankings_Master!$J$2:$J$788,"Yes")</x:f>
        <x:v>2</x:v>
      </x:c>
      <x:c r="D16" s="11" t="n">
        <x:f>IF(C16=0,"",MINIFS(Rankings_Master!$B$2:$B$788,Rankings_Master!$D$2:$D$788,A16,Rankings_Master!$E$2:$E$788,B16,Rankings_Master!$J$2:$J$788,"Yes"))</x:f>
        <x:v>16</x:v>
      </x:c>
      <x:c r="E16" s="14" t="n">
        <x:f>IF(C16=0,"",SUMIFS(Rankings_Master!$B$2:$B$788,Rankings_Master!$D$2:$D$788,A16,Rankings_Master!$E$2:$E$788,B16,Rankings_Master!$J$2:$J$788,"Yes")/C16)</x:f>
        <x:v>17.5</x:v>
      </x:c>
      <x:c r="F16" s="11" t="n">
        <x:f>IF(C16=0,"",MINIFS(Rankings_Master!$H$2:$H$788,Rankings_Master!$D$2:$D$788,A16,Rankings_Master!$E$2:$E$788,B16,Rankings_Master!$J$2:$J$788,"Yes"))</x:f>
        <x:v>202311</x:v>
      </x:c>
      <x:c r="G16" s="11" t="n">
        <x:f>IF(C16=0,"",MAXIFS(Rankings_Master!$H$2:$H$788,Rankings_Master!$D$2:$D$788,A16,Rankings_Master!$E$2:$E$788,B16,Rankings_Master!$J$2:$J$788,"Yes"))</x:f>
        <x:v>202405</x:v>
      </x:c>
      <x:c r="H16" s="11" t="str">
        <x:f>IF(C16=0,"Partial only",IF(C16&gt;=2,"Yes","No"))</x:f>
        <x:v>Yes</x:v>
      </x:c>
      <x:c r="I16" s="11" t="n">
        <x:f>IF(C16=0,"",INT(G16/100)-INT(F16/100)+1)</x:f>
        <x:v>2</x:v>
      </x:c>
      <x:c r="J16" s="11" t="str">
        <x:v>Romance / New Adult</x:v>
      </x:c>
      <x:c r="K16" s="11" t="str">
        <x:v>LYX</x:v>
      </x:c>
      <x:c r="L16" s="11" t="str">
        <x:v>2023-10-27</x:v>
      </x:c>
      <x:c r="M16" s="11" t="str">
        <x:v>978-3-7363-2080-2</x:v>
      </x:c>
      <x:c r="N16" s="11" t="str">
        <x:v>Yes</x:v>
      </x:c>
      <x:c r="O16" s="11" t="n">
        <x:v>1</x:v>
      </x:c>
      <x:c r="P16" s="11" t="str">
        <x:v>No</x:v>
      </x:c>
      <x:c r="Q16" s="11" t="str">
        <x:v>Full verified</x:v>
      </x:c>
    </x:row>
    <x:row r="17">
      <x:c r="A17" s="11" t="str">
        <x:v>Twisted Dreams</x:v>
      </x:c>
      <x:c r="B17" s="11" t="str">
        <x:v>Ana Huang</x:v>
      </x:c>
      <x:c r="C17" s="11" t="n">
        <x:f>COUNTIFS(Rankings_Master!$D$2:$D$788,A17,Rankings_Master!$E$2:$E$788,B17,Rankings_Master!$J$2:$J$788,"Yes")</x:f>
        <x:v>8</x:v>
      </x:c>
      <x:c r="D17" s="11" t="n">
        <x:f>IF(C17=0,"",MINIFS(Rankings_Master!$B$2:$B$788,Rankings_Master!$D$2:$D$788,A17,Rankings_Master!$E$2:$E$788,B17,Rankings_Master!$J$2:$J$788,"Yes"))</x:f>
        <x:v>10</x:v>
      </x:c>
      <x:c r="E17" s="14" t="n">
        <x:f>IF(C17=0,"",SUMIFS(Rankings_Master!$B$2:$B$788,Rankings_Master!$D$2:$D$788,A17,Rankings_Master!$E$2:$E$788,B17,Rankings_Master!$J$2:$J$788,"Yes")/C17)</x:f>
        <x:v>15.125</x:v>
      </x:c>
      <x:c r="F17" s="11" t="n">
        <x:f>IF(C17=0,"",MINIFS(Rankings_Master!$H$2:$H$788,Rankings_Master!$D$2:$D$788,A17,Rankings_Master!$E$2:$E$788,B17,Rankings_Master!$J$2:$J$788,"Yes"))</x:f>
        <x:v>202309</x:v>
      </x:c>
      <x:c r="G17" s="11" t="n">
        <x:f>IF(C17=0,"",MAXIFS(Rankings_Master!$H$2:$H$788,Rankings_Master!$D$2:$D$788,A17,Rankings_Master!$E$2:$E$788,B17,Rankings_Master!$J$2:$J$788,"Yes"))</x:f>
        <x:v>202406</x:v>
      </x:c>
      <x:c r="H17" s="11" t="str">
        <x:f>IF(C17=0,"Partial only",IF(C17&gt;=2,"Yes","No"))</x:f>
        <x:v>Yes</x:v>
      </x:c>
      <x:c r="I17" s="11" t="n">
        <x:f>IF(C17=0,"",INT(G17/100)-INT(F17/100)+1)</x:f>
        <x:v>2</x:v>
      </x:c>
      <x:c r="J17" s="11" t="str">
        <x:v>Romance / New Adult</x:v>
      </x:c>
      <x:c r="K17" s="11" t="str">
        <x:v>LYX</x:v>
      </x:c>
      <x:c r="L17" s="11"/>
      <x:c r="M17" s="11" t="str">
        <x:v>978-3-7363-1912-7</x:v>
      </x:c>
      <x:c r="N17" s="11" t="str">
        <x:v>Yes</x:v>
      </x:c>
      <x:c r="O17" s="11" t="n">
        <x:v>1</x:v>
      </x:c>
      <x:c r="P17" s="11" t="str">
        <x:v>No</x:v>
      </x:c>
      <x:c r="Q17" s="11" t="str">
        <x:v>Core verified</x:v>
      </x:c>
    </x:row>
    <x:row r="18">
      <x:c r="A18" s="11" t="str">
        <x:v>Twisted Games</x:v>
      </x:c>
      <x:c r="B18" s="11" t="str">
        <x:v>Ana Huang</x:v>
      </x:c>
      <x:c r="C18" s="11" t="n">
        <x:f>COUNTIFS(Rankings_Master!$D$2:$D$788,A18,Rankings_Master!$E$2:$E$788,B18,Rankings_Master!$J$2:$J$788,"Yes")</x:f>
        <x:v>7</x:v>
      </x:c>
      <x:c r="D18" s="11" t="n">
        <x:f>IF(C18=0,"",MINIFS(Rankings_Master!$B$2:$B$788,Rankings_Master!$D$2:$D$788,A18,Rankings_Master!$E$2:$E$788,B18,Rankings_Master!$J$2:$J$788,"Yes"))</x:f>
        <x:v>6</x:v>
      </x:c>
      <x:c r="E18" s="14" t="n">
        <x:f>IF(C18=0,"",SUMIFS(Rankings_Master!$B$2:$B$788,Rankings_Master!$D$2:$D$788,A18,Rankings_Master!$E$2:$E$788,B18,Rankings_Master!$J$2:$J$788,"Yes")/C18)</x:f>
        <x:v>12.285714285714286</x:v>
      </x:c>
      <x:c r="F18" s="11" t="n">
        <x:f>IF(C18=0,"",MINIFS(Rankings_Master!$H$2:$H$788,Rankings_Master!$D$2:$D$788,A18,Rankings_Master!$E$2:$E$788,B18,Rankings_Master!$J$2:$J$788,"Yes"))</x:f>
        <x:v>202305</x:v>
      </x:c>
      <x:c r="G18" s="11" t="n">
        <x:f>IF(C18=0,"",MAXIFS(Rankings_Master!$H$2:$H$788,Rankings_Master!$D$2:$D$788,A18,Rankings_Master!$E$2:$E$788,B18,Rankings_Master!$J$2:$J$788,"Yes"))</x:f>
        <x:v>202501</x:v>
      </x:c>
      <x:c r="H18" s="11" t="str">
        <x:f>IF(C18=0,"Partial only",IF(C18&gt;=2,"Yes","No"))</x:f>
        <x:v>Yes</x:v>
      </x:c>
      <x:c r="I18" s="11" t="n">
        <x:f>IF(C18=0,"",INT(G18/100)-INT(F18/100)+1)</x:f>
        <x:v>3</x:v>
      </x:c>
      <x:c r="J18" s="11" t="str">
        <x:v>Romance / New Adult</x:v>
      </x:c>
      <x:c r="K18" s="11" t="str">
        <x:v>LYX</x:v>
      </x:c>
      <x:c r="L18" s="11"/>
      <x:c r="M18" s="11" t="str">
        <x:v>978-3-7363-1922-6</x:v>
      </x:c>
      <x:c r="N18" s="11" t="str">
        <x:v>Yes</x:v>
      </x:c>
      <x:c r="O18" s="11" t="n">
        <x:v>2</x:v>
      </x:c>
      <x:c r="P18" s="11" t="str">
        <x:v>No</x:v>
      </x:c>
      <x:c r="Q18" s="11" t="str">
        <x:v>Core verified</x:v>
      </x:c>
    </x:row>
    <x:row r="19">
      <x:c r="A19" s="11" t="str">
        <x:v>Twisted Hate</x:v>
      </x:c>
      <x:c r="B19" s="11" t="str">
        <x:v>Ana Huang</x:v>
      </x:c>
      <x:c r="C19" s="11" t="n">
        <x:f>COUNTIFS(Rankings_Master!$D$2:$D$788,A19,Rankings_Master!$E$2:$E$788,B19,Rankings_Master!$J$2:$J$788,"Yes")</x:f>
        <x:v>6</x:v>
      </x:c>
      <x:c r="D19" s="11" t="n">
        <x:f>IF(C19=0,"",MINIFS(Rankings_Master!$B$2:$B$788,Rankings_Master!$D$2:$D$788,A19,Rankings_Master!$E$2:$E$788,B19,Rankings_Master!$J$2:$J$788,"Yes"))</x:f>
        <x:v>13</x:v>
      </x:c>
      <x:c r="E19" s="14" t="n">
        <x:f>IF(C19=0,"",SUMIFS(Rankings_Master!$B$2:$B$788,Rankings_Master!$D$2:$D$788,A19,Rankings_Master!$E$2:$E$788,B19,Rankings_Master!$J$2:$J$788,"Yes")/C19)</x:f>
        <x:v>17.5</x:v>
      </x:c>
      <x:c r="F19" s="11" t="n">
        <x:f>IF(C19=0,"",MINIFS(Rankings_Master!$H$2:$H$788,Rankings_Master!$D$2:$D$788,A19,Rankings_Master!$E$2:$E$788,B19,Rankings_Master!$J$2:$J$788,"Yes"))</x:f>
        <x:v>202306</x:v>
      </x:c>
      <x:c r="G19" s="11" t="n">
        <x:f>IF(C19=0,"",MAXIFS(Rankings_Master!$H$2:$H$788,Rankings_Master!$D$2:$D$788,A19,Rankings_Master!$E$2:$E$788,B19,Rankings_Master!$J$2:$J$788,"Yes"))</x:f>
        <x:v>202408</x:v>
      </x:c>
      <x:c r="H19" s="11" t="str">
        <x:f>IF(C19=0,"Partial only",IF(C19&gt;=2,"Yes","No"))</x:f>
        <x:v>Yes</x:v>
      </x:c>
      <x:c r="I19" s="11" t="n">
        <x:f>IF(C19=0,"",INT(G19/100)-INT(F19/100)+1)</x:f>
        <x:v>2</x:v>
      </x:c>
      <x:c r="J19" s="11" t="str">
        <x:v>Romance / New Adult</x:v>
      </x:c>
      <x:c r="K19" s="11" t="str">
        <x:v>LYX</x:v>
      </x:c>
      <x:c r="L19" s="11"/>
      <x:c r="M19" s="11" t="str">
        <x:v>978-3-7363-1982-0</x:v>
      </x:c>
      <x:c r="N19" s="11" t="str">
        <x:v>Yes</x:v>
      </x:c>
      <x:c r="O19" s="11" t="n">
        <x:v>3</x:v>
      </x:c>
      <x:c r="P19" s="11" t="str">
        <x:v>No</x:v>
      </x:c>
      <x:c r="Q19" s="11" t="str">
        <x:v>Core verified</x:v>
      </x:c>
    </x:row>
    <x:row r="20">
      <x:c r="A20" s="11" t="str">
        <x:v>Twisted Lies</x:v>
      </x:c>
      <x:c r="B20" s="11" t="str">
        <x:v>Ana Huang</x:v>
      </x:c>
      <x:c r="C20" s="11" t="n">
        <x:f>COUNTIFS(Rankings_Master!$D$2:$D$788,A20,Rankings_Master!$E$2:$E$788,B20,Rankings_Master!$J$2:$J$788,"Yes")</x:f>
        <x:v>2</x:v>
      </x:c>
      <x:c r="D20" s="11" t="n">
        <x:f>IF(C20=0,"",MINIFS(Rankings_Master!$B$2:$B$788,Rankings_Master!$D$2:$D$788,A20,Rankings_Master!$E$2:$E$788,B20,Rankings_Master!$J$2:$J$788,"Yes"))</x:f>
        <x:v>13</x:v>
      </x:c>
      <x:c r="E20" s="14" t="n">
        <x:f>IF(C20=0,"",SUMIFS(Rankings_Master!$B$2:$B$788,Rankings_Master!$D$2:$D$788,A20,Rankings_Master!$E$2:$E$788,B20,Rankings_Master!$J$2:$J$788,"Yes")/C20)</x:f>
        <x:v>14.5</x:v>
      </x:c>
      <x:c r="F20" s="11" t="n">
        <x:f>IF(C20=0,"",MINIFS(Rankings_Master!$H$2:$H$788,Rankings_Master!$D$2:$D$788,A20,Rankings_Master!$E$2:$E$788,B20,Rankings_Master!$J$2:$J$788,"Yes"))</x:f>
        <x:v>202308</x:v>
      </x:c>
      <x:c r="G20" s="11" t="n">
        <x:f>IF(C20=0,"",MAXIFS(Rankings_Master!$H$2:$H$788,Rankings_Master!$D$2:$D$788,A20,Rankings_Master!$E$2:$E$788,B20,Rankings_Master!$J$2:$J$788,"Yes"))</x:f>
        <x:v>202309</x:v>
      </x:c>
      <x:c r="H20" s="11" t="str">
        <x:f>IF(C20=0,"Partial only",IF(C20&gt;=2,"Yes","No"))</x:f>
        <x:v>Yes</x:v>
      </x:c>
      <x:c r="I20" s="11" t="n">
        <x:f>IF(C20=0,"",INT(G20/100)-INT(F20/100)+1)</x:f>
        <x:v>1</x:v>
      </x:c>
      <x:c r="J20" s="11" t="str">
        <x:v>Romance / New Adult</x:v>
      </x:c>
      <x:c r="K20" s="11" t="str">
        <x:v>LYX</x:v>
      </x:c>
      <x:c r="L20" s="11"/>
      <x:c r="M20" s="11" t="str">
        <x:v>978-3-7363-2072-7</x:v>
      </x:c>
      <x:c r="N20" s="11" t="str">
        <x:v>Yes</x:v>
      </x:c>
      <x:c r="O20" s="11" t="n">
        <x:v>4</x:v>
      </x:c>
      <x:c r="P20" s="11" t="str">
        <x:v>No</x:v>
      </x:c>
      <x:c r="Q20" s="11" t="str">
        <x:v>Core verified</x:v>
      </x:c>
    </x:row>
    <x:row r="21">
      <x:c r="A21" s="11" t="str">
        <x:v>Moorland. Die Zwillinge</x:v>
      </x:c>
      <x:c r="B21" s="11" t="str">
        <x:v>Andreas Winkelmann</x:v>
      </x:c>
      <x:c r="C21" s="11" t="n">
        <x:f>COUNTIFS(Rankings_Master!$D$2:$D$788,A21,Rankings_Master!$E$2:$E$788,B21,Rankings_Master!$J$2:$J$788,"Yes")</x:f>
        <x:v>3</x:v>
      </x:c>
      <x:c r="D21" s="11" t="n">
        <x:f>IF(C21=0,"",MINIFS(Rankings_Master!$B$2:$B$788,Rankings_Master!$D$2:$D$788,A21,Rankings_Master!$E$2:$E$788,B21,Rankings_Master!$J$2:$J$788,"Yes"))</x:f>
        <x:v>14</x:v>
      </x:c>
      <x:c r="E21" s="14" t="n">
        <x:f>IF(C21=0,"",SUMIFS(Rankings_Master!$B$2:$B$788,Rankings_Master!$D$2:$D$788,A21,Rankings_Master!$E$2:$E$788,B21,Rankings_Master!$J$2:$J$788,"Yes")/C21)</x:f>
        <x:v>14.666666666666666</x:v>
      </x:c>
      <x:c r="F21" s="11" t="n">
        <x:f>IF(C21=0,"",MINIFS(Rankings_Master!$H$2:$H$788,Rankings_Master!$D$2:$D$788,A21,Rankings_Master!$E$2:$E$788,B21,Rankings_Master!$J$2:$J$788,"Yes"))</x:f>
        <x:v>202603</x:v>
      </x:c>
      <x:c r="G21" s="11" t="n">
        <x:f>IF(C21=0,"",MAXIFS(Rankings_Master!$H$2:$H$788,Rankings_Master!$D$2:$D$788,A21,Rankings_Master!$E$2:$E$788,B21,Rankings_Master!$J$2:$J$788,"Yes"))</x:f>
        <x:v>202605</x:v>
      </x:c>
      <x:c r="H21" s="11" t="str">
        <x:f>IF(C21=0,"Partial only",IF(C21&gt;=2,"Yes","No"))</x:f>
        <x:v>Yes</x:v>
      </x:c>
      <x:c r="I21" s="11" t="n">
        <x:f>IF(C21=0,"",INT(G21/100)-INT(F21/100)+1)</x:f>
        <x:v>1</x:v>
      </x:c>
      <x:c r="J21" s="11" t="str">
        <x:v>Thriller / Suspense</x:v>
      </x:c>
      <x:c r="K21" s="11" t="str">
        <x:v>Knaur TB</x:v>
      </x:c>
      <x:c r="L21" s="11" t="str">
        <x:v>2026-03-02</x:v>
      </x:c>
      <x:c r="M21" s="11" t="str">
        <x:v>978-3-426-56469-1</x:v>
      </x:c>
      <x:c r="N21" s="11" t="str">
        <x:v>Yes</x:v>
      </x:c>
      <x:c r="O21" s="11" t="n">
        <x:v>1</x:v>
      </x:c>
      <x:c r="P21" s="11" t="str">
        <x:v>No</x:v>
      </x:c>
      <x:c r="Q21" s="11" t="str">
        <x:v>Full verified</x:v>
      </x:c>
    </x:row>
    <x:row r="22">
      <x:c r="A22" s="11" t="str">
        <x:v>Der Dorfladen - Wie das Schicksal spielt</x:v>
      </x:c>
      <x:c r="B22" s="11" t="str">
        <x:v>Anne Jacobs</x:v>
      </x:c>
      <x:c r="C22" s="11" t="n">
        <x:f>COUNTIFS(Rankings_Master!$D$2:$D$788,A22,Rankings_Master!$E$2:$E$788,B22,Rankings_Master!$J$2:$J$788,"Yes")</x:f>
        <x:v>1</x:v>
      </x:c>
      <x:c r="D22" s="11" t="n">
        <x:f>IF(C22=0,"",MINIFS(Rankings_Master!$B$2:$B$788,Rankings_Master!$D$2:$D$788,A22,Rankings_Master!$E$2:$E$788,B22,Rankings_Master!$J$2:$J$788,"Yes"))</x:f>
        <x:v>9</x:v>
      </x:c>
      <x:c r="E22" s="14" t="n">
        <x:f>IF(C22=0,"",SUMIFS(Rankings_Master!$B$2:$B$788,Rankings_Master!$D$2:$D$788,A22,Rankings_Master!$E$2:$E$788,B22,Rankings_Master!$J$2:$J$788,"Yes")/C22)</x:f>
        <x:v>9</x:v>
      </x:c>
      <x:c r="F22" s="11" t="n">
        <x:f>IF(C22=0,"",MINIFS(Rankings_Master!$H$2:$H$788,Rankings_Master!$D$2:$D$788,A22,Rankings_Master!$E$2:$E$788,B22,Rankings_Master!$J$2:$J$788,"Yes"))</x:f>
        <x:v>202511</x:v>
      </x:c>
      <x:c r="G22" s="11" t="n">
        <x:f>IF(C22=0,"",MAXIFS(Rankings_Master!$H$2:$H$788,Rankings_Master!$D$2:$D$788,A22,Rankings_Master!$E$2:$E$788,B22,Rankings_Master!$J$2:$J$788,"Yes"))</x:f>
        <x:v>202511</x:v>
      </x:c>
      <x:c r="H22" s="11" t="str">
        <x:f>IF(C22=0,"Partial only",IF(C22&gt;=2,"Yes","No"))</x:f>
        <x:v>No</x:v>
      </x:c>
      <x:c r="I22" s="11" t="n">
        <x:f>IF(C22=0,"",INT(G22/100)-INT(F22/100)+1)</x:f>
        <x:v>1</x:v>
      </x:c>
      <x:c r="J22" s="11" t="str">
        <x:v>Historical / Contemporary Fiction</x:v>
      </x:c>
      <x:c r="K22" s="11" t="str">
        <x:v>Blanvalet</x:v>
      </x:c>
      <x:c r="L22" s="11" t="str">
        <x:v>2025-11-12</x:v>
      </x:c>
      <x:c r="M22" s="11" t="str">
        <x:v>978-3-7645-0847-0</x:v>
      </x:c>
      <x:c r="N22" s="11" t="str">
        <x:v>Yes</x:v>
      </x:c>
      <x:c r="O22" s="11" t="n">
        <x:v>3</x:v>
      </x:c>
      <x:c r="P22" s="11" t="str">
        <x:v>No</x:v>
      </x:c>
      <x:c r="Q22" s="11" t="str">
        <x:v>Full verified</x:v>
      </x:c>
    </x:row>
    <x:row r="23">
      <x:c r="A23" s="11" t="str">
        <x:v>Dark Venice. Deep Water (Dark Venice 1)</x:v>
      </x:c>
      <x:c r="B23" s="11" t="str">
        <x:v>Antonia Wesseling</x:v>
      </x:c>
      <x:c r="C23" s="11" t="n">
        <x:f>COUNTIFS(Rankings_Master!$D$2:$D$788,A23,Rankings_Master!$E$2:$E$788,B23,Rankings_Master!$J$2:$J$788,"Yes")</x:f>
        <x:v>1</x:v>
      </x:c>
      <x:c r="D23" s="11" t="n">
        <x:f>IF(C23=0,"",MINIFS(Rankings_Master!$B$2:$B$788,Rankings_Master!$D$2:$D$788,A23,Rankings_Master!$E$2:$E$788,B23,Rankings_Master!$J$2:$J$788,"Yes"))</x:f>
        <x:v>14</x:v>
      </x:c>
      <x:c r="E23" s="14" t="n">
        <x:f>IF(C23=0,"",SUMIFS(Rankings_Master!$B$2:$B$788,Rankings_Master!$D$2:$D$788,A23,Rankings_Master!$E$2:$E$788,B23,Rankings_Master!$J$2:$J$788,"Yes")/C23)</x:f>
        <x:v>14</x:v>
      </x:c>
      <x:c r="F23" s="11" t="n">
        <x:f>IF(C23=0,"",MINIFS(Rankings_Master!$H$2:$H$788,Rankings_Master!$D$2:$D$788,A23,Rankings_Master!$E$2:$E$788,B23,Rankings_Master!$J$2:$J$788,"Yes"))</x:f>
        <x:v>202410</x:v>
      </x:c>
      <x:c r="G23" s="11" t="n">
        <x:f>IF(C23=0,"",MAXIFS(Rankings_Master!$H$2:$H$788,Rankings_Master!$D$2:$D$788,A23,Rankings_Master!$E$2:$E$788,B23,Rankings_Master!$J$2:$J$788,"Yes"))</x:f>
        <x:v>202410</x:v>
      </x:c>
      <x:c r="H23" s="11" t="str">
        <x:f>IF(C23=0,"Partial only",IF(C23&gt;=2,"Yes","No"))</x:f>
        <x:v>No</x:v>
      </x:c>
      <x:c r="I23" s="11" t="n">
        <x:f>IF(C23=0,"",INT(G23/100)-INT(F23/100)+1)</x:f>
        <x:v>1</x:v>
      </x:c>
      <x:c r="J23" s="11" t="str">
        <x:v>Romance / New Adult</x:v>
      </x:c>
      <x:c r="K23" s="11" t="str">
        <x:v>Forever / Ullstein</x:v>
      </x:c>
      <x:c r="L23" s="11" t="str">
        <x:v>2024-10-17</x:v>
      </x:c>
      <x:c r="M23" s="11" t="str">
        <x:v>978-3-95818-788-7</x:v>
      </x:c>
      <x:c r="N23" s="11" t="str">
        <x:v>Yes</x:v>
      </x:c>
      <x:c r="O23" s="11" t="n">
        <x:v>1</x:v>
      </x:c>
      <x:c r="P23" s="11" t="str">
        <x:v>No</x:v>
      </x:c>
      <x:c r="Q23" s="11" t="str">
        <x:v>Full verified</x:v>
      </x:c>
    </x:row>
    <x:row r="24">
      <x:c r="A24" s="11" t="str">
        <x:v>Loverboy - Niemand liebt dich so wie ich</x:v>
      </x:c>
      <x:c r="B24" s="11" t="str">
        <x:v>Antonia Wesseling</x:v>
      </x:c>
      <x:c r="C24" s="11" t="n">
        <x:f>COUNTIFS(Rankings_Master!$D$2:$D$788,A24,Rankings_Master!$E$2:$E$788,B24,Rankings_Master!$J$2:$J$788,"Yes")</x:f>
        <x:v>1</x:v>
      </x:c>
      <x:c r="D24" s="11" t="n">
        <x:f>IF(C24=0,"",MINIFS(Rankings_Master!$B$2:$B$788,Rankings_Master!$D$2:$D$788,A24,Rankings_Master!$E$2:$E$788,B24,Rankings_Master!$J$2:$J$788,"Yes"))</x:f>
        <x:v>19</x:v>
      </x:c>
      <x:c r="E24" s="14" t="n">
        <x:f>IF(C24=0,"",SUMIFS(Rankings_Master!$B$2:$B$788,Rankings_Master!$D$2:$D$788,A24,Rankings_Master!$E$2:$E$788,B24,Rankings_Master!$J$2:$J$788,"Yes")/C24)</x:f>
        <x:v>19</x:v>
      </x:c>
      <x:c r="F24" s="11" t="n">
        <x:f>IF(C24=0,"",MINIFS(Rankings_Master!$H$2:$H$788,Rankings_Master!$D$2:$D$788,A24,Rankings_Master!$E$2:$E$788,B24,Rankings_Master!$J$2:$J$788,"Yes"))</x:f>
        <x:v>202506</x:v>
      </x:c>
      <x:c r="G24" s="11" t="n">
        <x:f>IF(C24=0,"",MAXIFS(Rankings_Master!$H$2:$H$788,Rankings_Master!$D$2:$D$788,A24,Rankings_Master!$E$2:$E$788,B24,Rankings_Master!$J$2:$J$788,"Yes"))</x:f>
        <x:v>202506</x:v>
      </x:c>
      <x:c r="H24" s="11" t="str">
        <x:f>IF(C24=0,"Partial only",IF(C24&gt;=2,"Yes","No"))</x:f>
        <x:v>No</x:v>
      </x:c>
      <x:c r="I24" s="11" t="n">
        <x:f>IF(C24=0,"",INT(G24/100)-INT(F24/100)+1)</x:f>
        <x:v>1</x:v>
      </x:c>
      <x:c r="J24" s="11" t="str">
        <x:v>Romance / Thriller</x:v>
      </x:c>
      <x:c r="K24" s="11" t="str">
        <x:v>Knaur TB</x:v>
      </x:c>
      <x:c r="L24" s="11" t="str">
        <x:v>2025-06-02</x:v>
      </x:c>
      <x:c r="M24" s="11" t="str">
        <x:v>978-3-426-56024-2</x:v>
      </x:c>
      <x:c r="N24" s="11" t="str">
        <x:v>No</x:v>
      </x:c>
      <x:c r="O24" s="11"/>
      <x:c r="P24" s="11" t="str">
        <x:v>No</x:v>
      </x:c>
      <x:c r="Q24" s="11" t="str">
        <x:v>Full verified</x:v>
      </x:c>
    </x:row>
    <x:row r="25">
      <x:c r="A25" s="11" t="str">
        <x:v>Tausend Splitter zu dir - Based on Lena’s True Story</x:v>
      </x:c>
      <x:c r="B25" s="11" t="str">
        <x:v>Antonia Wesseling</x:v>
      </x:c>
      <x:c r="C25" s="11" t="n">
        <x:f>COUNTIFS(Rankings_Master!$D$2:$D$788,A25,Rankings_Master!$E$2:$E$788,B25,Rankings_Master!$J$2:$J$788,"Yes")</x:f>
        <x:v>2</x:v>
      </x:c>
      <x:c r="D25" s="11" t="n">
        <x:f>IF(C25=0,"",MINIFS(Rankings_Master!$B$2:$B$788,Rankings_Master!$D$2:$D$788,A25,Rankings_Master!$E$2:$E$788,B25,Rankings_Master!$J$2:$J$788,"Yes"))</x:f>
        <x:v>14</x:v>
      </x:c>
      <x:c r="E25" s="14" t="n">
        <x:f>IF(C25=0,"",SUMIFS(Rankings_Master!$B$2:$B$788,Rankings_Master!$D$2:$D$788,A25,Rankings_Master!$E$2:$E$788,B25,Rankings_Master!$J$2:$J$788,"Yes")/C25)</x:f>
        <x:v>15.5</x:v>
      </x:c>
      <x:c r="F25" s="11" t="n">
        <x:f>IF(C25=0,"",MINIFS(Rankings_Master!$H$2:$H$788,Rankings_Master!$D$2:$D$788,A25,Rankings_Master!$E$2:$E$788,B25,Rankings_Master!$J$2:$J$788,"Yes"))</x:f>
        <x:v>202502</x:v>
      </x:c>
      <x:c r="G25" s="11" t="n">
        <x:f>IF(C25=0,"",MAXIFS(Rankings_Master!$H$2:$H$788,Rankings_Master!$D$2:$D$788,A25,Rankings_Master!$E$2:$E$788,B25,Rankings_Master!$J$2:$J$788,"Yes"))</x:f>
        <x:v>202503</x:v>
      </x:c>
      <x:c r="H25" s="11" t="str">
        <x:f>IF(C25=0,"Partial only",IF(C25&gt;=2,"Yes","No"))</x:f>
        <x:v>Yes</x:v>
      </x:c>
      <x:c r="I25" s="11" t="n">
        <x:f>IF(C25=0,"",INT(G25/100)-INT(F25/100)+1)</x:f>
        <x:v>1</x:v>
      </x:c>
      <x:c r="J25" s="11" t="str">
        <x:v>Romance / New Adult</x:v>
      </x:c>
      <x:c r="K25" s="11" t="str">
        <x:v>heartlines / Heyne</x:v>
      </x:c>
      <x:c r="L25" s="11" t="str">
        <x:v>2025-02-19</x:v>
      </x:c>
      <x:c r="M25" s="11" t="str">
        <x:v>978-3-453-29274-1</x:v>
      </x:c>
      <x:c r="N25" s="11" t="str">
        <x:v>No</x:v>
      </x:c>
      <x:c r="O25" s="11"/>
      <x:c r="P25" s="11" t="str">
        <x:v>No</x:v>
      </x:c>
      <x:c r="Q25" s="11" t="str">
        <x:v>Full verified</x:v>
      </x:c>
    </x:row>
    <x:row r="26">
      <x:c r="A26" s="11" t="str">
        <x:v>Broken Prince</x:v>
      </x:c>
      <x:c r="B26" s="11" t="str">
        <x:v>Anya Omah</x:v>
      </x:c>
      <x:c r="C26" s="11" t="n">
        <x:f>COUNTIFS(Rankings_Master!$D$2:$D$788,A26,Rankings_Master!$E$2:$E$788,B26,Rankings_Master!$J$2:$J$788,"Yes")</x:f>
        <x:v>1</x:v>
      </x:c>
      <x:c r="D26" s="11" t="n">
        <x:f>IF(C26=0,"",MINIFS(Rankings_Master!$B$2:$B$788,Rankings_Master!$D$2:$D$788,A26,Rankings_Master!$E$2:$E$788,B26,Rankings_Master!$J$2:$J$788,"Yes"))</x:f>
        <x:v>12</x:v>
      </x:c>
      <x:c r="E26" s="14" t="n">
        <x:f>IF(C26=0,"",SUMIFS(Rankings_Master!$B$2:$B$788,Rankings_Master!$D$2:$D$788,A26,Rankings_Master!$E$2:$E$788,B26,Rankings_Master!$J$2:$J$788,"Yes")/C26)</x:f>
        <x:v>12</x:v>
      </x:c>
      <x:c r="F26" s="11" t="n">
        <x:f>IF(C26=0,"",MINIFS(Rankings_Master!$H$2:$H$788,Rankings_Master!$D$2:$D$788,A26,Rankings_Master!$E$2:$E$788,B26,Rankings_Master!$J$2:$J$788,"Yes"))</x:f>
        <x:v>202508</x:v>
      </x:c>
      <x:c r="G26" s="11" t="n">
        <x:f>IF(C26=0,"",MAXIFS(Rankings_Master!$H$2:$H$788,Rankings_Master!$D$2:$D$788,A26,Rankings_Master!$E$2:$E$788,B26,Rankings_Master!$J$2:$J$788,"Yes"))</x:f>
        <x:v>202508</x:v>
      </x:c>
      <x:c r="H26" s="11" t="str">
        <x:f>IF(C26=0,"Partial only",IF(C26&gt;=2,"Yes","No"))</x:f>
        <x:v>No</x:v>
      </x:c>
      <x:c r="I26" s="11" t="n">
        <x:f>IF(C26=0,"",INT(G26/100)-INT(F26/100)+1)</x:f>
        <x:v>1</x:v>
      </x:c>
      <x:c r="J26" s="11" t="str">
        <x:v>Romance / New Adult</x:v>
      </x:c>
      <x:c r="K26" s="11" t="str">
        <x:v>KYSS / Rowohlt</x:v>
      </x:c>
      <x:c r="L26" s="11" t="str">
        <x:v>2025-08-12</x:v>
      </x:c>
      <x:c r="M26" s="11" t="str">
        <x:v>978-3-499-01159-7</x:v>
      </x:c>
      <x:c r="N26" s="11" t="str">
        <x:v>Yes</x:v>
      </x:c>
      <x:c r="O26" s="11" t="n">
        <x:v>2</x:v>
      </x:c>
      <x:c r="P26" s="11" t="str">
        <x:v>No</x:v>
      </x:c>
      <x:c r="Q26" s="11" t="str">
        <x:v>Full verified</x:v>
      </x:c>
    </x:row>
    <x:row r="27">
      <x:c r="A27" s="11" t="str">
        <x:v>Fake Roomie</x:v>
      </x:c>
      <x:c r="B27" s="11" t="str">
        <x:v>Anya Omah</x:v>
      </x:c>
      <x:c r="C27" s="11" t="n">
        <x:f>COUNTIFS(Rankings_Master!$D$2:$D$788,A27,Rankings_Master!$E$2:$E$788,B27,Rankings_Master!$J$2:$J$788,"Yes")</x:f>
        <x:v>1</x:v>
      </x:c>
      <x:c r="D27" s="11" t="n">
        <x:f>IF(C27=0,"",MINIFS(Rankings_Master!$B$2:$B$788,Rankings_Master!$D$2:$D$788,A27,Rankings_Master!$E$2:$E$788,B27,Rankings_Master!$J$2:$J$788,"Yes"))</x:f>
        <x:v>4</x:v>
      </x:c>
      <x:c r="E27" s="14" t="n">
        <x:f>IF(C27=0,"",SUMIFS(Rankings_Master!$B$2:$B$788,Rankings_Master!$D$2:$D$788,A27,Rankings_Master!$E$2:$E$788,B27,Rankings_Master!$J$2:$J$788,"Yes")/C27)</x:f>
        <x:v>4</x:v>
      </x:c>
      <x:c r="F27" s="11" t="n">
        <x:f>IF(C27=0,"",MINIFS(Rankings_Master!$H$2:$H$788,Rankings_Master!$D$2:$D$788,A27,Rankings_Master!$E$2:$E$788,B27,Rankings_Master!$J$2:$J$788,"Yes"))</x:f>
        <x:v>202404</x:v>
      </x:c>
      <x:c r="G27" s="11" t="n">
        <x:f>IF(C27=0,"",MAXIFS(Rankings_Master!$H$2:$H$788,Rankings_Master!$D$2:$D$788,A27,Rankings_Master!$E$2:$E$788,B27,Rankings_Master!$J$2:$J$788,"Yes"))</x:f>
        <x:v>202404</x:v>
      </x:c>
      <x:c r="H27" s="11" t="str">
        <x:f>IF(C27=0,"Partial only",IF(C27&gt;=2,"Yes","No"))</x:f>
        <x:v>No</x:v>
      </x:c>
      <x:c r="I27" s="11" t="n">
        <x:f>IF(C27=0,"",INT(G27/100)-INT(F27/100)+1)</x:f>
        <x:v>1</x:v>
      </x:c>
      <x:c r="J27" s="11" t="str">
        <x:v>Romance / New Adult</x:v>
      </x:c>
      <x:c r="K27" s="11" t="str">
        <x:v>Nova MD</x:v>
      </x:c>
      <x:c r="L27" s="11" t="str">
        <x:v>2024-04-09</x:v>
      </x:c>
      <x:c r="M27" s="11" t="str">
        <x:v>978-3-9894220-6-3</x:v>
      </x:c>
      <x:c r="N27" s="11" t="str">
        <x:v>No</x:v>
      </x:c>
      <x:c r="O27" s="11"/>
      <x:c r="P27" s="11" t="str">
        <x:v>Yes</x:v>
      </x:c>
      <x:c r="Q27" s="11" t="str">
        <x:v>Full verified</x:v>
      </x:c>
    </x:row>
    <x:row r="28">
      <x:c r="A28" s="11" t="str">
        <x:v>Whitestone Hospital - Colliding Hearts</x:v>
      </x:c>
      <x:c r="B28" s="11" t="str">
        <x:v>Ava Reed</x:v>
      </x:c>
      <x:c r="C28" s="11" t="n">
        <x:f>COUNTIFS(Rankings_Master!$D$2:$D$788,A28,Rankings_Master!$E$2:$E$788,B28,Rankings_Master!$J$2:$J$788,"Yes")</x:f>
        <x:v>1</x:v>
      </x:c>
      <x:c r="D28" s="11" t="n">
        <x:f>IF(C28=0,"",MINIFS(Rankings_Master!$B$2:$B$788,Rankings_Master!$D$2:$D$788,A28,Rankings_Master!$E$2:$E$788,B28,Rankings_Master!$J$2:$J$788,"Yes"))</x:f>
        <x:v>11</x:v>
      </x:c>
      <x:c r="E28" s="14" t="n">
        <x:f>IF(C28=0,"",SUMIFS(Rankings_Master!$B$2:$B$788,Rankings_Master!$D$2:$D$788,A28,Rankings_Master!$E$2:$E$788,B28,Rankings_Master!$J$2:$J$788,"Yes")/C28)</x:f>
        <x:v>11</x:v>
      </x:c>
      <x:c r="F28" s="11" t="n">
        <x:f>IF(C28=0,"",MINIFS(Rankings_Master!$H$2:$H$788,Rankings_Master!$D$2:$D$788,A28,Rankings_Master!$E$2:$E$788,B28,Rankings_Master!$J$2:$J$788,"Yes"))</x:f>
        <x:v>202602</x:v>
      </x:c>
      <x:c r="G28" s="11" t="n">
        <x:f>IF(C28=0,"",MAXIFS(Rankings_Master!$H$2:$H$788,Rankings_Master!$D$2:$D$788,A28,Rankings_Master!$E$2:$E$788,B28,Rankings_Master!$J$2:$J$788,"Yes"))</x:f>
        <x:v>202602</x:v>
      </x:c>
      <x:c r="H28" s="11" t="str">
        <x:f>IF(C28=0,"Partial only",IF(C28&gt;=2,"Yes","No"))</x:f>
        <x:v>No</x:v>
      </x:c>
      <x:c r="I28" s="11" t="n">
        <x:f>IF(C28=0,"",INT(G28/100)-INT(F28/100)+1)</x:f>
        <x:v>1</x:v>
      </x:c>
      <x:c r="J28" s="11" t="str">
        <x:v>Romance / New Adult</x:v>
      </x:c>
      <x:c r="K28" s="11" t="str">
        <x:v>LYX</x:v>
      </x:c>
      <x:c r="L28" s="11" t="str">
        <x:v>2026</x:v>
      </x:c>
      <x:c r="M28" s="11" t="str">
        <x:v>978-3-96635-628-2</x:v>
      </x:c>
      <x:c r="N28" s="11" t="str">
        <x:v>Yes</x:v>
      </x:c>
      <x:c r="O28" s="11" t="n">
        <x:v>5</x:v>
      </x:c>
      <x:c r="P28" s="11" t="str">
        <x:v>No</x:v>
      </x:c>
      <x:c r="Q28" s="11" t="str">
        <x:v>Core verified</x:v>
      </x:c>
    </x:row>
    <x:row r="29">
      <x:c r="A29" s="11" t="str">
        <x:v>A Million Stars Above</x:v>
      </x:c>
      <x:c r="B29" s="11" t="str">
        <x:v>Ayla Dade</x:v>
      </x:c>
      <x:c r="C29" s="11" t="n">
        <x:f>COUNTIFS(Rankings_Master!$D$2:$D$788,A29,Rankings_Master!$E$2:$E$788,B29,Rankings_Master!$J$2:$J$788,"Yes")</x:f>
        <x:v>2</x:v>
      </x:c>
      <x:c r="D29" s="11" t="n">
        <x:f>IF(C29=0,"",MINIFS(Rankings_Master!$B$2:$B$788,Rankings_Master!$D$2:$D$788,A29,Rankings_Master!$E$2:$E$788,B29,Rankings_Master!$J$2:$J$788,"Yes"))</x:f>
        <x:v>9</x:v>
      </x:c>
      <x:c r="E29" s="14" t="n">
        <x:f>IF(C29=0,"",SUMIFS(Rankings_Master!$B$2:$B$788,Rankings_Master!$D$2:$D$788,A29,Rankings_Master!$E$2:$E$788,B29,Rankings_Master!$J$2:$J$788,"Yes")/C29)</x:f>
        <x:v>11.5</x:v>
      </x:c>
      <x:c r="F29" s="11" t="n">
        <x:f>IF(C29=0,"",MINIFS(Rankings_Master!$H$2:$H$788,Rankings_Master!$D$2:$D$788,A29,Rankings_Master!$E$2:$E$788,B29,Rankings_Master!$J$2:$J$788,"Yes"))</x:f>
        <x:v>202502</x:v>
      </x:c>
      <x:c r="G29" s="11" t="n">
        <x:f>IF(C29=0,"",MAXIFS(Rankings_Master!$H$2:$H$788,Rankings_Master!$D$2:$D$788,A29,Rankings_Master!$E$2:$E$788,B29,Rankings_Master!$J$2:$J$788,"Yes"))</x:f>
        <x:v>202503</x:v>
      </x:c>
      <x:c r="H29" s="11" t="str">
        <x:f>IF(C29=0,"Partial only",IF(C29&gt;=2,"Yes","No"))</x:f>
        <x:v>Yes</x:v>
      </x:c>
      <x:c r="I29" s="11" t="n">
        <x:f>IF(C29=0,"",INT(G29/100)-INT(F29/100)+1)</x:f>
        <x:v>1</x:v>
      </x:c>
      <x:c r="J29" s="11" t="str">
        <x:v>Romance / New Adult</x:v>
      </x:c>
      <x:c r="K29" s="11" t="str">
        <x:v>Penguin</x:v>
      </x:c>
      <x:c r="L29" s="11" t="str">
        <x:v>2025</x:v>
      </x:c>
      <x:c r="M29" s="11" t="str">
        <x:v>978-3-328-11158-0</x:v>
      </x:c>
      <x:c r="N29" s="11" t="str">
        <x:v>Yes</x:v>
      </x:c>
      <x:c r="O29" s="11" t="n">
        <x:v>1</x:v>
      </x:c>
      <x:c r="P29" s="11" t="str">
        <x:v>No</x:v>
      </x:c>
      <x:c r="Q29" s="11" t="str">
        <x:v>Core verified</x:v>
      </x:c>
    </x:row>
    <x:row r="30">
      <x:c r="A30" s="11" t="str">
        <x:v>Like Hearts We Heal</x:v>
      </x:c>
      <x:c r="B30" s="11" t="str">
        <x:v>Ayla Dade</x:v>
      </x:c>
      <x:c r="C30" s="11" t="n">
        <x:f>COUNTIFS(Rankings_Master!$D$2:$D$788,A30,Rankings_Master!$E$2:$E$788,B30,Rankings_Master!$J$2:$J$788,"Yes")</x:f>
        <x:v>1</x:v>
      </x:c>
      <x:c r="D30" s="11" t="n">
        <x:f>IF(C30=0,"",MINIFS(Rankings_Master!$B$2:$B$788,Rankings_Master!$D$2:$D$788,A30,Rankings_Master!$E$2:$E$788,B30,Rankings_Master!$J$2:$J$788,"Yes"))</x:f>
        <x:v>4</x:v>
      </x:c>
      <x:c r="E30" s="14" t="n">
        <x:f>IF(C30=0,"",SUMIFS(Rankings_Master!$B$2:$B$788,Rankings_Master!$D$2:$D$788,A30,Rankings_Master!$E$2:$E$788,B30,Rankings_Master!$J$2:$J$788,"Yes")/C30)</x:f>
        <x:v>4</x:v>
      </x:c>
      <x:c r="F30" s="11" t="n">
        <x:f>IF(C30=0,"",MINIFS(Rankings_Master!$H$2:$H$788,Rankings_Master!$D$2:$D$788,A30,Rankings_Master!$E$2:$E$788,B30,Rankings_Master!$J$2:$J$788,"Yes"))</x:f>
        <x:v>202511</x:v>
      </x:c>
      <x:c r="G30" s="11" t="n">
        <x:f>IF(C30=0,"",MAXIFS(Rankings_Master!$H$2:$H$788,Rankings_Master!$D$2:$D$788,A30,Rankings_Master!$E$2:$E$788,B30,Rankings_Master!$J$2:$J$788,"Yes"))</x:f>
        <x:v>202511</x:v>
      </x:c>
      <x:c r="H30" s="11" t="str">
        <x:f>IF(C30=0,"Partial only",IF(C30&gt;=2,"Yes","No"))</x:f>
        <x:v>No</x:v>
      </x:c>
      <x:c r="I30" s="11" t="n">
        <x:f>IF(C30=0,"",INT(G30/100)-INT(F30/100)+1)</x:f>
        <x:v>1</x:v>
      </x:c>
      <x:c r="J30" s="11" t="str">
        <x:v>Romance / New Adult</x:v>
      </x:c>
      <x:c r="K30" s="11" t="str">
        <x:v>Penguin TB</x:v>
      </x:c>
      <x:c r="L30" s="11" t="str">
        <x:v>2025-11-12</x:v>
      </x:c>
      <x:c r="M30" s="11" t="str">
        <x:v>978-3-328-11366-9</x:v>
      </x:c>
      <x:c r="N30" s="11" t="str">
        <x:v>Yes</x:v>
      </x:c>
      <x:c r="O30" s="11" t="n">
        <x:v>6</x:v>
      </x:c>
      <x:c r="P30" s="11" t="str">
        <x:v>No</x:v>
      </x:c>
      <x:c r="Q30" s="11" t="str">
        <x:v>Full verified</x:v>
      </x:c>
    </x:row>
    <x:row r="31">
      <x:c r="A31" s="11" t="str">
        <x:v>Wanna be my lover</x:v>
      </x:c>
      <x:c r="B31" s="11" t="str">
        <x:v>Ayla Dade</x:v>
      </x:c>
      <x:c r="C31" s="11" t="n">
        <x:f>COUNTIFS(Rankings_Master!$D$2:$D$788,A31,Rankings_Master!$E$2:$E$788,B31,Rankings_Master!$J$2:$J$788,"Yes")</x:f>
        <x:v>2</x:v>
      </x:c>
      <x:c r="D31" s="11" t="n">
        <x:f>IF(C31=0,"",MINIFS(Rankings_Master!$B$2:$B$788,Rankings_Master!$D$2:$D$788,A31,Rankings_Master!$E$2:$E$788,B31,Rankings_Master!$J$2:$J$788,"Yes"))</x:f>
        <x:v>6</x:v>
      </x:c>
      <x:c r="E31" s="14" t="n">
        <x:f>IF(C31=0,"",SUMIFS(Rankings_Master!$B$2:$B$788,Rankings_Master!$D$2:$D$788,A31,Rankings_Master!$E$2:$E$788,B31,Rankings_Master!$J$2:$J$788,"Yes")/C31)</x:f>
        <x:v>9.5</x:v>
      </x:c>
      <x:c r="F31" s="11" t="n">
        <x:f>IF(C31=0,"",MINIFS(Rankings_Master!$H$2:$H$788,Rankings_Master!$D$2:$D$788,A31,Rankings_Master!$E$2:$E$788,B31,Rankings_Master!$J$2:$J$788,"Yes"))</x:f>
        <x:v>202606</x:v>
      </x:c>
      <x:c r="G31" s="11" t="n">
        <x:f>IF(C31=0,"",MAXIFS(Rankings_Master!$H$2:$H$788,Rankings_Master!$D$2:$D$788,A31,Rankings_Master!$E$2:$E$788,B31,Rankings_Master!$J$2:$J$788,"Yes"))</x:f>
        <x:v>202607</x:v>
      </x:c>
      <x:c r="H31" s="11" t="str">
        <x:f>IF(C31=0,"Partial only",IF(C31&gt;=2,"Yes","No"))</x:f>
        <x:v>Yes</x:v>
      </x:c>
      <x:c r="I31" s="11" t="n">
        <x:f>IF(C31=0,"",INT(G31/100)-INT(F31/100)+1)</x:f>
        <x:v>1</x:v>
      </x:c>
      <x:c r="J31" s="11" t="str">
        <x:v>Romance / New Adult</x:v>
      </x:c>
      <x:c r="K31" s="11" t="str">
        <x:v>Penguin</x:v>
      </x:c>
      <x:c r="L31" s="11" t="str">
        <x:v>2026-06-24</x:v>
      </x:c>
      <x:c r="M31" s="11" t="str">
        <x:v>978-3-328-11249-5</x:v>
      </x:c>
      <x:c r="N31" s="11" t="str">
        <x:v>Yes</x:v>
      </x:c>
      <x:c r="O31" s="11" t="n">
        <x:v>1</x:v>
      </x:c>
      <x:c r="P31" s="11" t="str">
        <x:v>No</x:v>
      </x:c>
      <x:c r="Q31" s="11" t="str">
        <x:v>Full verified</x:v>
      </x:c>
    </x:row>
    <x:row r="32">
      <x:c r="A32" s="11" t="str">
        <x:v>WHISPERS. Die Wahrheit wird dich zerstören</x:v>
      </x:c>
      <x:c r="B32" s="11" t="str">
        <x:v>Ayla Dade</x:v>
      </x:c>
      <x:c r="C32" s="11" t="n">
        <x:f>COUNTIFS(Rankings_Master!$D$2:$D$788,A32,Rankings_Master!$E$2:$E$788,B32,Rankings_Master!$J$2:$J$788,"Yes")</x:f>
        <x:v>1</x:v>
      </x:c>
      <x:c r="D32" s="11" t="n">
        <x:f>IF(C32=0,"",MINIFS(Rankings_Master!$B$2:$B$788,Rankings_Master!$D$2:$D$788,A32,Rankings_Master!$E$2:$E$788,B32,Rankings_Master!$J$2:$J$788,"Yes"))</x:f>
        <x:v>14</x:v>
      </x:c>
      <x:c r="E32" s="14" t="n">
        <x:f>IF(C32=0,"",SUMIFS(Rankings_Master!$B$2:$B$788,Rankings_Master!$D$2:$D$788,A32,Rankings_Master!$E$2:$E$788,B32,Rankings_Master!$J$2:$J$788,"Yes")/C32)</x:f>
        <x:v>14</x:v>
      </x:c>
      <x:c r="F32" s="11" t="n">
        <x:f>IF(C32=0,"",MINIFS(Rankings_Master!$H$2:$H$788,Rankings_Master!$D$2:$D$788,A32,Rankings_Master!$E$2:$E$788,B32,Rankings_Master!$J$2:$J$788,"Yes"))</x:f>
        <x:v>202406</x:v>
      </x:c>
      <x:c r="G32" s="11" t="n">
        <x:f>IF(C32=0,"",MAXIFS(Rankings_Master!$H$2:$H$788,Rankings_Master!$D$2:$D$788,A32,Rankings_Master!$E$2:$E$788,B32,Rankings_Master!$J$2:$J$788,"Yes"))</x:f>
        <x:v>202406</x:v>
      </x:c>
      <x:c r="H32" s="11" t="str">
        <x:f>IF(C32=0,"Partial only",IF(C32&gt;=2,"Yes","No"))</x:f>
        <x:v>No</x:v>
      </x:c>
      <x:c r="I32" s="11" t="n">
        <x:f>IF(C32=0,"",INT(G32/100)-INT(F32/100)+1)</x:f>
        <x:v>1</x:v>
      </x:c>
      <x:c r="J32" s="11" t="str">
        <x:v>Thriller / Suspense</x:v>
      </x:c>
      <x:c r="K32" s="11" t="str">
        <x:v>Penguin</x:v>
      </x:c>
      <x:c r="L32" s="11" t="str">
        <x:v>2024-06-26</x:v>
      </x:c>
      <x:c r="M32" s="11" t="str">
        <x:v>978-3-328-11126-9</x:v>
      </x:c>
      <x:c r="N32" s="11" t="str">
        <x:v>No</x:v>
      </x:c>
      <x:c r="O32" s="11"/>
      <x:c r="P32" s="11" t="str">
        <x:v>No</x:v>
      </x:c>
      <x:c r="Q32" s="11" t="str">
        <x:v>Full verified</x:v>
      </x:c>
    </x:row>
    <x:row r="33">
      <x:c r="A33" s="11" t="str">
        <x:v>Consider Me (Playing for Keeps 1)</x:v>
      </x:c>
      <x:c r="B33" s="11" t="str">
        <x:v>Becka Mack</x:v>
      </x:c>
      <x:c r="C33" s="11" t="n">
        <x:f>COUNTIFS(Rankings_Master!$D$2:$D$788,A33,Rankings_Master!$E$2:$E$788,B33,Rankings_Master!$J$2:$J$788,"Yes")</x:f>
        <x:v>1</x:v>
      </x:c>
      <x:c r="D33" s="11" t="n">
        <x:f>IF(C33=0,"",MINIFS(Rankings_Master!$B$2:$B$788,Rankings_Master!$D$2:$D$788,A33,Rankings_Master!$E$2:$E$788,B33,Rankings_Master!$J$2:$J$788,"Yes"))</x:f>
        <x:v>16</x:v>
      </x:c>
      <x:c r="E33" s="14" t="n">
        <x:f>IF(C33=0,"",SUMIFS(Rankings_Master!$B$2:$B$788,Rankings_Master!$D$2:$D$788,A33,Rankings_Master!$E$2:$E$788,B33,Rankings_Master!$J$2:$J$788,"Yes")/C33)</x:f>
        <x:v>16</x:v>
      </x:c>
      <x:c r="F33" s="11" t="n">
        <x:f>IF(C33=0,"",MINIFS(Rankings_Master!$H$2:$H$788,Rankings_Master!$D$2:$D$788,A33,Rankings_Master!$E$2:$E$788,B33,Rankings_Master!$J$2:$J$788,"Yes"))</x:f>
        <x:v>202406</x:v>
      </x:c>
      <x:c r="G33" s="11" t="n">
        <x:f>IF(C33=0,"",MAXIFS(Rankings_Master!$H$2:$H$788,Rankings_Master!$D$2:$D$788,A33,Rankings_Master!$E$2:$E$788,B33,Rankings_Master!$J$2:$J$788,"Yes"))</x:f>
        <x:v>202406</x:v>
      </x:c>
      <x:c r="H33" s="11" t="str">
        <x:f>IF(C33=0,"Partial only",IF(C33&gt;=2,"Yes","No"))</x:f>
        <x:v>No</x:v>
      </x:c>
      <x:c r="I33" s="11" t="n">
        <x:f>IF(C33=0,"",INT(G33/100)-INT(F33/100)+1)</x:f>
        <x:v>1</x:v>
      </x:c>
      <x:c r="J33" s="11" t="str">
        <x:v>Romance / New Adult</x:v>
      </x:c>
      <x:c r="K33" s="11" t="str">
        <x:v>Carlsen</x:v>
      </x:c>
      <x:c r="L33" s="11" t="str">
        <x:v>2024-05-24</x:v>
      </x:c>
      <x:c r="M33" s="11" t="str">
        <x:v>978-3-551-55947-0</x:v>
      </x:c>
      <x:c r="N33" s="11" t="str">
        <x:v>Yes</x:v>
      </x:c>
      <x:c r="O33" s="11" t="n">
        <x:v>1</x:v>
      </x:c>
      <x:c r="P33" s="11" t="str">
        <x:v>No</x:v>
      </x:c>
      <x:c r="Q33" s="11" t="str">
        <x:v>Full verified</x:v>
      </x:c>
    </x:row>
    <x:row r="34">
      <x:c r="A34" s="11" t="str">
        <x:v>Hard Land</x:v>
      </x:c>
      <x:c r="B34" s="11" t="str">
        <x:v>Benedict Wells</x:v>
      </x:c>
      <x:c r="C34" s="11" t="n">
        <x:f>COUNTIFS(Rankings_Master!$D$2:$D$788,A34,Rankings_Master!$E$2:$E$788,B34,Rankings_Master!$J$2:$J$788,"Yes")</x:f>
        <x:v>3</x:v>
      </x:c>
      <x:c r="D34" s="11" t="n">
        <x:f>IF(C34=0,"",MINIFS(Rankings_Master!$B$2:$B$788,Rankings_Master!$D$2:$D$788,A34,Rankings_Master!$E$2:$E$788,B34,Rankings_Master!$J$2:$J$788,"Yes"))</x:f>
        <x:v>14</x:v>
      </x:c>
      <x:c r="E34" s="14" t="n">
        <x:f>IF(C34=0,"",SUMIFS(Rankings_Master!$B$2:$B$788,Rankings_Master!$D$2:$D$788,A34,Rankings_Master!$E$2:$E$788,B34,Rankings_Master!$J$2:$J$788,"Yes")/C34)</x:f>
        <x:v>17</x:v>
      </x:c>
      <x:c r="F34" s="11" t="n">
        <x:f>IF(C34=0,"",MINIFS(Rankings_Master!$H$2:$H$788,Rankings_Master!$D$2:$D$788,A34,Rankings_Master!$E$2:$E$788,B34,Rankings_Master!$J$2:$J$788,"Yes"))</x:f>
        <x:v>202309</x:v>
      </x:c>
      <x:c r="G34" s="11" t="n">
        <x:f>IF(C34=0,"",MAXIFS(Rankings_Master!$H$2:$H$788,Rankings_Master!$D$2:$D$788,A34,Rankings_Master!$E$2:$E$788,B34,Rankings_Master!$J$2:$J$788,"Yes"))</x:f>
        <x:v>202312</x:v>
      </x:c>
      <x:c r="H34" s="11" t="str">
        <x:f>IF(C34=0,"Partial only",IF(C34&gt;=2,"Yes","No"))</x:f>
        <x:v>Yes</x:v>
      </x:c>
      <x:c r="I34" s="11" t="n">
        <x:f>IF(C34=0,"",INT(G34/100)-INT(F34/100)+1)</x:f>
        <x:v>1</x:v>
      </x:c>
      <x:c r="J34" s="11" t="str">
        <x:v>Contemporary / Coming-of-Age</x:v>
      </x:c>
      <x:c r="K34" s="11" t="str">
        <x:v>Diogenes Verlag AG</x:v>
      </x:c>
      <x:c r="L34" s="11" t="str">
        <x:v>2023-04-26</x:v>
      </x:c>
      <x:c r="M34" s="11" t="str">
        <x:v>978-3-257-24674-2</x:v>
      </x:c>
      <x:c r="N34" s="11" t="str">
        <x:v>No</x:v>
      </x:c>
      <x:c r="O34" s="11"/>
      <x:c r="P34" s="11"/>
      <x:c r="Q34" s="11" t="str">
        <x:v>Full verified</x:v>
      </x:c>
    </x:row>
    <x:row r="35">
      <x:c r="A35" s="11" t="str">
        <x:v>BAD VIBES. Deine Geheimnisse sterben nie</x:v>
      </x:c>
      <x:c r="B35" s="11" t="str">
        <x:v>Bianca Iosivoni</x:v>
      </x:c>
      <x:c r="C35" s="11" t="n">
        <x:f>COUNTIFS(Rankings_Master!$D$2:$D$788,A35,Rankings_Master!$E$2:$E$788,B35,Rankings_Master!$J$2:$J$788,"Yes")</x:f>
        <x:v>1</x:v>
      </x:c>
      <x:c r="D35" s="11" t="n">
        <x:f>IF(C35=0,"",MINIFS(Rankings_Master!$B$2:$B$788,Rankings_Master!$D$2:$D$788,A35,Rankings_Master!$E$2:$E$788,B35,Rankings_Master!$J$2:$J$788,"Yes"))</x:f>
        <x:v>10</x:v>
      </x:c>
      <x:c r="E35" s="14" t="n">
        <x:f>IF(C35=0,"",SUMIFS(Rankings_Master!$B$2:$B$788,Rankings_Master!$D$2:$D$788,A35,Rankings_Master!$E$2:$E$788,B35,Rankings_Master!$J$2:$J$788,"Yes")/C35)</x:f>
        <x:v>10</x:v>
      </x:c>
      <x:c r="F35" s="11" t="n">
        <x:f>IF(C35=0,"",MINIFS(Rankings_Master!$H$2:$H$788,Rankings_Master!$D$2:$D$788,A35,Rankings_Master!$E$2:$E$788,B35,Rankings_Master!$J$2:$J$788,"Yes"))</x:f>
        <x:v>202502</x:v>
      </x:c>
      <x:c r="G35" s="11" t="n">
        <x:f>IF(C35=0,"",MAXIFS(Rankings_Master!$H$2:$H$788,Rankings_Master!$D$2:$D$788,A35,Rankings_Master!$E$2:$E$788,B35,Rankings_Master!$J$2:$J$788,"Yes"))</x:f>
        <x:v>202502</x:v>
      </x:c>
      <x:c r="H35" s="11" t="str">
        <x:f>IF(C35=0,"Partial only",IF(C35&gt;=2,"Yes","No"))</x:f>
        <x:v>No</x:v>
      </x:c>
      <x:c r="I35" s="11" t="n">
        <x:f>IF(C35=0,"",INT(G35/100)-INT(F35/100)+1)</x:f>
        <x:v>1</x:v>
      </x:c>
      <x:c r="J35" s="11" t="str">
        <x:v>Thriller / Suspense</x:v>
      </x:c>
      <x:c r="K35" s="11" t="str">
        <x:v>Penguin</x:v>
      </x:c>
      <x:c r="L35" s="11" t="str">
        <x:v>2025-02-19</x:v>
      </x:c>
      <x:c r="M35" s="11"/>
      <x:c r="N35" s="11" t="str">
        <x:v>No</x:v>
      </x:c>
      <x:c r="O35" s="11"/>
      <x:c r="P35" s="11" t="str">
        <x:v>No</x:v>
      </x:c>
      <x:c r="Q35" s="11" t="str">
        <x:v>Core verified</x:v>
      </x:c>
    </x:row>
    <x:row r="36">
      <x:c r="A36" s="11" t="str">
        <x:v>Golden Bay - How it feels</x:v>
      </x:c>
      <x:c r="B36" s="11" t="str">
        <x:v>Bianca Iosivoni</x:v>
      </x:c>
      <x:c r="C36" s="11" t="n">
        <x:f>COUNTIFS(Rankings_Master!$D$2:$D$788,A36,Rankings_Master!$E$2:$E$788,B36,Rankings_Master!$J$2:$J$788,"Yes")</x:f>
        <x:v>1</x:v>
      </x:c>
      <x:c r="D36" s="11" t="n">
        <x:f>IF(C36=0,"",MINIFS(Rankings_Master!$B$2:$B$788,Rankings_Master!$D$2:$D$788,A36,Rankings_Master!$E$2:$E$788,B36,Rankings_Master!$J$2:$J$788,"Yes"))</x:f>
        <x:v>6</x:v>
      </x:c>
      <x:c r="E36" s="14" t="n">
        <x:f>IF(C36=0,"",SUMIFS(Rankings_Master!$B$2:$B$788,Rankings_Master!$D$2:$D$788,A36,Rankings_Master!$E$2:$E$788,B36,Rankings_Master!$J$2:$J$788,"Yes")/C36)</x:f>
        <x:v>6</x:v>
      </x:c>
      <x:c r="F36" s="11" t="n">
        <x:f>IF(C36=0,"",MINIFS(Rankings_Master!$H$2:$H$788,Rankings_Master!$D$2:$D$788,A36,Rankings_Master!$E$2:$E$788,B36,Rankings_Master!$J$2:$J$788,"Yes"))</x:f>
        <x:v>202403</x:v>
      </x:c>
      <x:c r="G36" s="11" t="n">
        <x:f>IF(C36=0,"",MAXIFS(Rankings_Master!$H$2:$H$788,Rankings_Master!$D$2:$D$788,A36,Rankings_Master!$E$2:$E$788,B36,Rankings_Master!$J$2:$J$788,"Yes"))</x:f>
        <x:v>202403</x:v>
      </x:c>
      <x:c r="H36" s="11" t="str">
        <x:f>IF(C36=0,"Partial only",IF(C36&gt;=2,"Yes","No"))</x:f>
        <x:v>No</x:v>
      </x:c>
      <x:c r="I36" s="11" t="n">
        <x:f>IF(C36=0,"",INT(G36/100)-INT(F36/100)+1)</x:f>
        <x:v>1</x:v>
      </x:c>
      <x:c r="J36" s="11" t="str">
        <x:v>Romance / New Adult</x:v>
      </x:c>
      <x:c r="K36" s="11" t="str">
        <x:v>Penguin</x:v>
      </x:c>
      <x:c r="L36" s="11" t="str">
        <x:v>2024-02-28</x:v>
      </x:c>
      <x:c r="M36" s="11" t="str">
        <x:v>978-3-328-11078-1</x:v>
      </x:c>
      <x:c r="N36" s="11" t="str">
        <x:v>Yes</x:v>
      </x:c>
      <x:c r="O36" s="11" t="n">
        <x:v>1</x:v>
      </x:c>
      <x:c r="P36" s="11" t="str">
        <x:v>No</x:v>
      </x:c>
      <x:c r="Q36" s="11" t="str">
        <x:v>Full verified</x:v>
      </x:c>
    </x:row>
    <x:row r="37">
      <x:c r="A37" s="11" t="str">
        <x:v>Golden Bay - How it hurts</x:v>
      </x:c>
      <x:c r="B37" s="11" t="str">
        <x:v>Bianca Iosivoni</x:v>
      </x:c>
      <x:c r="C37" s="11" t="n">
        <x:f>COUNTIFS(Rankings_Master!$D$2:$D$788,A37,Rankings_Master!$E$2:$E$788,B37,Rankings_Master!$J$2:$J$788,"Yes")</x:f>
        <x:v>1</x:v>
      </x:c>
      <x:c r="D37" s="11" t="n">
        <x:f>IF(C37=0,"",MINIFS(Rankings_Master!$B$2:$B$788,Rankings_Master!$D$2:$D$788,A37,Rankings_Master!$E$2:$E$788,B37,Rankings_Master!$J$2:$J$788,"Yes"))</x:f>
        <x:v>11</x:v>
      </x:c>
      <x:c r="E37" s="14" t="n">
        <x:f>IF(C37=0,"",SUMIFS(Rankings_Master!$B$2:$B$788,Rankings_Master!$D$2:$D$788,A37,Rankings_Master!$E$2:$E$788,B37,Rankings_Master!$J$2:$J$788,"Yes")/C37)</x:f>
        <x:v>11</x:v>
      </x:c>
      <x:c r="F37" s="11" t="n">
        <x:f>IF(C37=0,"",MINIFS(Rankings_Master!$H$2:$H$788,Rankings_Master!$D$2:$D$788,A37,Rankings_Master!$E$2:$E$788,B37,Rankings_Master!$J$2:$J$788,"Yes"))</x:f>
        <x:v>202406</x:v>
      </x:c>
      <x:c r="G37" s="11" t="n">
        <x:f>IF(C37=0,"",MAXIFS(Rankings_Master!$H$2:$H$788,Rankings_Master!$D$2:$D$788,A37,Rankings_Master!$E$2:$E$788,B37,Rankings_Master!$J$2:$J$788,"Yes"))</x:f>
        <x:v>202406</x:v>
      </x:c>
      <x:c r="H37" s="11" t="str">
        <x:f>IF(C37=0,"Partial only",IF(C37&gt;=2,"Yes","No"))</x:f>
        <x:v>No</x:v>
      </x:c>
      <x:c r="I37" s="11" t="n">
        <x:f>IF(C37=0,"",INT(G37/100)-INT(F37/100)+1)</x:f>
        <x:v>1</x:v>
      </x:c>
      <x:c r="J37" s="11" t="str">
        <x:v>Romance / New Adult</x:v>
      </x:c>
      <x:c r="K37" s="11" t="str">
        <x:v>Penguin</x:v>
      </x:c>
      <x:c r="L37" s="11" t="str">
        <x:v>2024-05-22</x:v>
      </x:c>
      <x:c r="M37" s="11" t="str">
        <x:v>978-3-328-11079-8</x:v>
      </x:c>
      <x:c r="N37" s="11" t="str">
        <x:v>Yes</x:v>
      </x:c>
      <x:c r="O37" s="11" t="n">
        <x:v>2</x:v>
      </x:c>
      <x:c r="P37" s="11" t="str">
        <x:v>No</x:v>
      </x:c>
      <x:c r="Q37" s="11" t="str">
        <x:v>Full verified</x:v>
      </x:c>
    </x:row>
    <x:row r="38">
      <x:c r="A38" s="11" t="str">
        <x:v>Silver Lights - The more I love you</x:v>
      </x:c>
      <x:c r="B38" s="11" t="str">
        <x:v>Bianca Iosivoni</x:v>
      </x:c>
      <x:c r="C38" s="11" t="n">
        <x:f>COUNTIFS(Rankings_Master!$D$2:$D$788,A38,Rankings_Master!$E$2:$E$788,B38,Rankings_Master!$J$2:$J$788,"Yes")</x:f>
        <x:v>1</x:v>
      </x:c>
      <x:c r="D38" s="11" t="n">
        <x:f>IF(C38=0,"",MINIFS(Rankings_Master!$B$2:$B$788,Rankings_Master!$D$2:$D$788,A38,Rankings_Master!$E$2:$E$788,B38,Rankings_Master!$J$2:$J$788,"Yes"))</x:f>
        <x:v>7</x:v>
      </x:c>
      <x:c r="E38" s="14" t="n">
        <x:f>IF(C38=0,"",SUMIFS(Rankings_Master!$B$2:$B$788,Rankings_Master!$D$2:$D$788,A38,Rankings_Master!$E$2:$E$788,B38,Rankings_Master!$J$2:$J$788,"Yes")/C38)</x:f>
        <x:v>7</x:v>
      </x:c>
      <x:c r="F38" s="11" t="n">
        <x:f>IF(C38=0,"",MINIFS(Rankings_Master!$H$2:$H$788,Rankings_Master!$D$2:$D$788,A38,Rankings_Master!$E$2:$E$788,B38,Rankings_Master!$J$2:$J$788,"Yes"))</x:f>
        <x:v>202601</x:v>
      </x:c>
      <x:c r="G38" s="11" t="n">
        <x:f>IF(C38=0,"",MAXIFS(Rankings_Master!$H$2:$H$788,Rankings_Master!$D$2:$D$788,A38,Rankings_Master!$E$2:$E$788,B38,Rankings_Master!$J$2:$J$788,"Yes"))</x:f>
        <x:v>202601</x:v>
      </x:c>
      <x:c r="H38" s="11" t="str">
        <x:f>IF(C38=0,"Partial only",IF(C38&gt;=2,"Yes","No"))</x:f>
        <x:v>No</x:v>
      </x:c>
      <x:c r="I38" s="11" t="n">
        <x:f>IF(C38=0,"",INT(G38/100)-INT(F38/100)+1)</x:f>
        <x:v>1</x:v>
      </x:c>
      <x:c r="J38" s="11" t="str">
        <x:v>Romance / New Adult</x:v>
      </x:c>
      <x:c r="K38" s="11" t="str">
        <x:v>Penguin</x:v>
      </x:c>
      <x:c r="L38" s="11" t="str">
        <x:v>2026-01-28</x:v>
      </x:c>
      <x:c r="M38" s="11" t="str">
        <x:v>978-3-328-11345-4</x:v>
      </x:c>
      <x:c r="N38" s="11" t="str">
        <x:v>Yes</x:v>
      </x:c>
      <x:c r="O38" s="11" t="n">
        <x:v>2</x:v>
      </x:c>
      <x:c r="P38" s="11" t="str">
        <x:v>No</x:v>
      </x:c>
      <x:c r="Q38" s="11" t="str">
        <x:v>Full verified</x:v>
      </x:c>
    </x:row>
    <x:row r="39">
      <x:c r="A39" s="11" t="str">
        <x:v>SORRY. Ich habe es nur für dich getan</x:v>
      </x:c>
      <x:c r="B39" s="11" t="str">
        <x:v>Bianca Iosivoni</x:v>
      </x:c>
      <x:c r="C39" s="11" t="n">
        <x:f>COUNTIFS(Rankings_Master!$D$2:$D$788,A39,Rankings_Master!$E$2:$E$788,B39,Rankings_Master!$J$2:$J$788,"Yes")</x:f>
        <x:v>2</x:v>
      </x:c>
      <x:c r="D39" s="11" t="n">
        <x:f>IF(C39=0,"",MINIFS(Rankings_Master!$B$2:$B$788,Rankings_Master!$D$2:$D$788,A39,Rankings_Master!$E$2:$E$788,B39,Rankings_Master!$J$2:$J$788,"Yes"))</x:f>
        <x:v>6</x:v>
      </x:c>
      <x:c r="E39" s="14" t="n">
        <x:f>IF(C39=0,"",SUMIFS(Rankings_Master!$B$2:$B$788,Rankings_Master!$D$2:$D$788,A39,Rankings_Master!$E$2:$E$788,B39,Rankings_Master!$J$2:$J$788,"Yes")/C39)</x:f>
        <x:v>13</x:v>
      </x:c>
      <x:c r="F39" s="11" t="n">
        <x:f>IF(C39=0,"",MINIFS(Rankings_Master!$H$2:$H$788,Rankings_Master!$D$2:$D$788,A39,Rankings_Master!$E$2:$E$788,B39,Rankings_Master!$J$2:$J$788,"Yes"))</x:f>
        <x:v>202304</x:v>
      </x:c>
      <x:c r="G39" s="11" t="n">
        <x:f>IF(C39=0,"",MAXIFS(Rankings_Master!$H$2:$H$788,Rankings_Master!$D$2:$D$788,A39,Rankings_Master!$E$2:$E$788,B39,Rankings_Master!$J$2:$J$788,"Yes"))</x:f>
        <x:v>202305</x:v>
      </x:c>
      <x:c r="H39" s="11" t="str">
        <x:f>IF(C39=0,"Partial only",IF(C39&gt;=2,"Yes","No"))</x:f>
        <x:v>Yes</x:v>
      </x:c>
      <x:c r="I39" s="11" t="n">
        <x:f>IF(C39=0,"",INT(G39/100)-INT(F39/100)+1)</x:f>
        <x:v>1</x:v>
      </x:c>
      <x:c r="J39" s="11" t="str">
        <x:v>Thriller / Suspense</x:v>
      </x:c>
      <x:c r="K39" s="11" t="str">
        <x:v>Penguin</x:v>
      </x:c>
      <x:c r="L39" s="11" t="str">
        <x:v>2023-03-08</x:v>
      </x:c>
      <x:c r="M39" s="11" t="str">
        <x:v>978-3-328-10889-4</x:v>
      </x:c>
      <x:c r="N39" s="11" t="str">
        <x:v>No</x:v>
      </x:c>
      <x:c r="O39" s="11"/>
      <x:c r="P39" s="11" t="str">
        <x:v>No</x:v>
      </x:c>
      <x:c r="Q39" s="11" t="str">
        <x:v>Full verified</x:v>
      </x:c>
    </x:row>
    <x:row r="40">
      <x:c r="A40" s="11" t="str">
        <x:v>Wicked Mind</x:v>
      </x:c>
      <x:c r="B40" s="11" t="str">
        <x:v>Bianca Mov</x:v>
      </x:c>
      <x:c r="C40" s="11" t="n">
        <x:f>COUNTIFS(Rankings_Master!$D$2:$D$788,A40,Rankings_Master!$E$2:$E$788,B40,Rankings_Master!$J$2:$J$788,"Yes")</x:f>
        <x:v>1</x:v>
      </x:c>
      <x:c r="D40" s="11" t="n">
        <x:f>IF(C40=0,"",MINIFS(Rankings_Master!$B$2:$B$788,Rankings_Master!$D$2:$D$788,A40,Rankings_Master!$E$2:$E$788,B40,Rankings_Master!$J$2:$J$788,"Yes"))</x:f>
        <x:v>11</x:v>
      </x:c>
      <x:c r="E40" s="14" t="n">
        <x:f>IF(C40=0,"",SUMIFS(Rankings_Master!$B$2:$B$788,Rankings_Master!$D$2:$D$788,A40,Rankings_Master!$E$2:$E$788,B40,Rankings_Master!$J$2:$J$788,"Yes")/C40)</x:f>
        <x:v>11</x:v>
      </x:c>
      <x:c r="F40" s="11" t="n">
        <x:f>IF(C40=0,"",MINIFS(Rankings_Master!$H$2:$H$788,Rankings_Master!$D$2:$D$788,A40,Rankings_Master!$E$2:$E$788,B40,Rankings_Master!$J$2:$J$788,"Yes"))</x:f>
        <x:v>202509</x:v>
      </x:c>
      <x:c r="G40" s="11" t="n">
        <x:f>IF(C40=0,"",MAXIFS(Rankings_Master!$H$2:$H$788,Rankings_Master!$D$2:$D$788,A40,Rankings_Master!$E$2:$E$788,B40,Rankings_Master!$J$2:$J$788,"Yes"))</x:f>
        <x:v>202509</x:v>
      </x:c>
      <x:c r="H40" s="11" t="str">
        <x:f>IF(C40=0,"Partial only",IF(C40&gt;=2,"Yes","No"))</x:f>
        <x:v>No</x:v>
      </x:c>
      <x:c r="I40" s="11" t="n">
        <x:f>IF(C40=0,"",INT(G40/100)-INT(F40/100)+1)</x:f>
        <x:v>1</x:v>
      </x:c>
      <x:c r="J40" s="11" t="str">
        <x:v>Romance / New Adult</x:v>
      </x:c>
      <x:c r="K40" s="11" t="str">
        <x:v>Blush Blanvalet</x:v>
      </x:c>
      <x:c r="L40" s="11" t="str">
        <x:v>2025-09-10</x:v>
      </x:c>
      <x:c r="M40" s="11" t="str">
        <x:v>978-3-7341-1478-6</x:v>
      </x:c>
      <x:c r="N40" s="11" t="str">
        <x:v>Yes</x:v>
      </x:c>
      <x:c r="O40" s="11" t="n">
        <x:v>1</x:v>
      </x:c>
      <x:c r="P40" s="11" t="str">
        <x:v>No</x:v>
      </x:c>
      <x:c r="Q40" s="11" t="str">
        <x:v>Full verified</x:v>
      </x:c>
    </x:row>
    <x:row r="41">
      <x:c r="A41" s="11" t="str">
        <x:v>Today I’ll Fall For Him (3)</x:v>
      </x:c>
      <x:c r="B41" s="11" t="str">
        <x:v>Bianca Wege</x:v>
      </x:c>
      <x:c r="C41" s="11" t="n">
        <x:f>COUNTIFS(Rankings_Master!$D$2:$D$788,A41,Rankings_Master!$E$2:$E$788,B41,Rankings_Master!$J$2:$J$788,"Yes")</x:f>
        <x:v>1</x:v>
      </x:c>
      <x:c r="D41" s="11" t="n">
        <x:f>IF(C41=0,"",MINIFS(Rankings_Master!$B$2:$B$788,Rankings_Master!$D$2:$D$788,A41,Rankings_Master!$E$2:$E$788,B41,Rankings_Master!$J$2:$J$788,"Yes"))</x:f>
        <x:v>12</x:v>
      </x:c>
      <x:c r="E41" s="14" t="n">
        <x:f>IF(C41=0,"",SUMIFS(Rankings_Master!$B$2:$B$788,Rankings_Master!$D$2:$D$788,A41,Rankings_Master!$E$2:$E$788,B41,Rankings_Master!$J$2:$J$788,"Yes")/C41)</x:f>
        <x:v>12</x:v>
      </x:c>
      <x:c r="F41" s="11" t="n">
        <x:f>IF(C41=0,"",MINIFS(Rankings_Master!$H$2:$H$788,Rankings_Master!$D$2:$D$788,A41,Rankings_Master!$E$2:$E$788,B41,Rankings_Master!$J$2:$J$788,"Yes"))</x:f>
        <x:v>202507</x:v>
      </x:c>
      <x:c r="G41" s="11" t="n">
        <x:f>IF(C41=0,"",MAXIFS(Rankings_Master!$H$2:$H$788,Rankings_Master!$D$2:$D$788,A41,Rankings_Master!$E$2:$E$788,B41,Rankings_Master!$J$2:$J$788,"Yes"))</x:f>
        <x:v>202507</x:v>
      </x:c>
      <x:c r="H41" s="11" t="str">
        <x:f>IF(C41=0,"Partial only",IF(C41&gt;=2,"Yes","No"))</x:f>
        <x:v>No</x:v>
      </x:c>
      <x:c r="I41" s="11" t="n">
        <x:f>IF(C41=0,"",INT(G41/100)-INT(F41/100)+1)</x:f>
        <x:v>1</x:v>
      </x:c>
      <x:c r="J41" s="11" t="str">
        <x:v>Romance / New Adult</x:v>
      </x:c>
      <x:c r="K41" s="11" t="str">
        <x:v>Arena</x:v>
      </x:c>
      <x:c r="L41" s="11" t="str">
        <x:v>2025</x:v>
      </x:c>
      <x:c r="M41" s="11" t="str">
        <x:v>978-3-401-60789-4</x:v>
      </x:c>
      <x:c r="N41" s="11" t="str">
        <x:v>Yes</x:v>
      </x:c>
      <x:c r="O41" s="11" t="n">
        <x:v>3</x:v>
      </x:c>
      <x:c r="P41" s="11" t="str">
        <x:v>No</x:v>
      </x:c>
      <x:c r="Q41" s="11" t="str">
        <x:v>Core verified</x:v>
      </x:c>
    </x:row>
    <x:row r="42">
      <x:c r="A42" s="11" t="str">
        <x:v>Today I’ll Talk to Him</x:v>
      </x:c>
      <x:c r="B42" s="11" t="str">
        <x:v>Bianca Wege</x:v>
      </x:c>
      <x:c r="C42" s="11" t="n">
        <x:f>COUNTIFS(Rankings_Master!$D$2:$D$788,A42,Rankings_Master!$E$2:$E$788,B42,Rankings_Master!$J$2:$J$788,"Yes")</x:f>
        <x:v>2</x:v>
      </x:c>
      <x:c r="D42" s="11" t="n">
        <x:f>IF(C42=0,"",MINIFS(Rankings_Master!$B$2:$B$788,Rankings_Master!$D$2:$D$788,A42,Rankings_Master!$E$2:$E$788,B42,Rankings_Master!$J$2:$J$788,"Yes"))</x:f>
        <x:v>18</x:v>
      </x:c>
      <x:c r="E42" s="14" t="n">
        <x:f>IF(C42=0,"",SUMIFS(Rankings_Master!$B$2:$B$788,Rankings_Master!$D$2:$D$788,A42,Rankings_Master!$E$2:$E$788,B42,Rankings_Master!$J$2:$J$788,"Yes")/C42)</x:f>
        <x:v>18.5</x:v>
      </x:c>
      <x:c r="F42" s="11" t="n">
        <x:f>IF(C42=0,"",MINIFS(Rankings_Master!$H$2:$H$788,Rankings_Master!$D$2:$D$788,A42,Rankings_Master!$E$2:$E$788,B42,Rankings_Master!$J$2:$J$788,"Yes"))</x:f>
        <x:v>202310</x:v>
      </x:c>
      <x:c r="G42" s="11" t="n">
        <x:f>IF(C42=0,"",MAXIFS(Rankings_Master!$H$2:$H$788,Rankings_Master!$D$2:$D$788,A42,Rankings_Master!$E$2:$E$788,B42,Rankings_Master!$J$2:$J$788,"Yes"))</x:f>
        <x:v>202311</x:v>
      </x:c>
      <x:c r="H42" s="11" t="str">
        <x:f>IF(C42=0,"Partial only",IF(C42&gt;=2,"Yes","No"))</x:f>
        <x:v>Yes</x:v>
      </x:c>
      <x:c r="I42" s="11" t="n">
        <x:f>IF(C42=0,"",INT(G42/100)-INT(F42/100)+1)</x:f>
        <x:v>1</x:v>
      </x:c>
      <x:c r="J42" s="11" t="str">
        <x:v>Romance / New Adult</x:v>
      </x:c>
      <x:c r="K42" s="11" t="str">
        <x:v>Arena</x:v>
      </x:c>
      <x:c r="L42" s="11" t="str">
        <x:v>2023-10-12</x:v>
      </x:c>
      <x:c r="M42" s="11" t="str">
        <x:v>978-3-401-60704-7</x:v>
      </x:c>
      <x:c r="N42" s="11" t="str">
        <x:v>No</x:v>
      </x:c>
      <x:c r="O42" s="11"/>
      <x:c r="P42" s="11" t="str">
        <x:v>No</x:v>
      </x:c>
      <x:c r="Q42" s="11" t="str">
        <x:v>Full verified</x:v>
      </x:c>
    </x:row>
    <x:row r="43">
      <x:c r="A43" s="11" t="str">
        <x:v>Prophezeiungen</x:v>
      </x:c>
      <x:c r="B43" s="11" t="str">
        <x:v>Birgit Fischer</x:v>
      </x:c>
      <x:c r="C43" s="11" t="n">
        <x:f>COUNTIFS(Rankings_Master!$D$2:$D$788,A43,Rankings_Master!$E$2:$E$788,B43,Rankings_Master!$J$2:$J$788,"Yes")</x:f>
        <x:v>1</x:v>
      </x:c>
      <x:c r="D43" s="11" t="n">
        <x:f>IF(C43=0,"",MINIFS(Rankings_Master!$B$2:$B$788,Rankings_Master!$D$2:$D$788,A43,Rankings_Master!$E$2:$E$788,B43,Rankings_Master!$J$2:$J$788,"Yes"))</x:f>
        <x:v>19</x:v>
      </x:c>
      <x:c r="E43" s="14" t="n">
        <x:f>IF(C43=0,"",SUMIFS(Rankings_Master!$B$2:$B$788,Rankings_Master!$D$2:$D$788,A43,Rankings_Master!$E$2:$E$788,B43,Rankings_Master!$J$2:$J$788,"Yes")/C43)</x:f>
        <x:v>19</x:v>
      </x:c>
      <x:c r="F43" s="11" t="n">
        <x:f>IF(C43=0,"",MINIFS(Rankings_Master!$H$2:$H$788,Rankings_Master!$D$2:$D$788,A43,Rankings_Master!$E$2:$E$788,B43,Rankings_Master!$J$2:$J$788,"Yes"))</x:f>
        <x:v>202602</x:v>
      </x:c>
      <x:c r="G43" s="11" t="n">
        <x:f>IF(C43=0,"",MAXIFS(Rankings_Master!$H$2:$H$788,Rankings_Master!$D$2:$D$788,A43,Rankings_Master!$E$2:$E$788,B43,Rankings_Master!$J$2:$J$788,"Yes"))</x:f>
        <x:v>202602</x:v>
      </x:c>
      <x:c r="H43" s="11" t="str">
        <x:f>IF(C43=0,"Partial only",IF(C43&gt;=2,"Yes","No"))</x:f>
        <x:v>No</x:v>
      </x:c>
      <x:c r="I43" s="11" t="n">
        <x:f>IF(C43=0,"",INT(G43/100)-INT(F43/100)+1)</x:f>
        <x:v>1</x:v>
      </x:c>
      <x:c r="J43" s="11" t="str">
        <x:v>Spirituality / Self-Help</x:v>
      </x:c>
      <x:c r="K43" s="11" t="str">
        <x:v>Ansata</x:v>
      </x:c>
      <x:c r="L43" s="11" t="str">
        <x:v>2026-02-25</x:v>
      </x:c>
      <x:c r="M43" s="11" t="str">
        <x:v>978-3-7787-7612-4</x:v>
      </x:c>
      <x:c r="N43" s="11" t="str">
        <x:v>No</x:v>
      </x:c>
      <x:c r="O43" s="11"/>
      <x:c r="P43" s="11" t="str">
        <x:v>No</x:v>
      </x:c>
      <x:c r="Q43" s="11" t="str">
        <x:v>Full verified</x:v>
      </x:c>
    </x:row>
    <x:row r="44">
      <x:c r="A44" s="11" t="str">
        <x:v>101 Essays, die dein Leben verändern werden</x:v>
      </x:c>
      <x:c r="B44" s="11" t="str">
        <x:v>Brianna Wiest</x:v>
      </x:c>
      <x:c r="C44" s="11" t="n">
        <x:f>COUNTIFS(Rankings_Master!$D$2:$D$788,A44,Rankings_Master!$E$2:$E$788,B44,Rankings_Master!$J$2:$J$788,"Yes")</x:f>
        <x:v>12</x:v>
      </x:c>
      <x:c r="D44" s="11" t="n">
        <x:f>IF(C44=0,"",MINIFS(Rankings_Master!$B$2:$B$788,Rankings_Master!$D$2:$D$788,A44,Rankings_Master!$E$2:$E$788,B44,Rankings_Master!$J$2:$J$788,"Yes"))</x:f>
        <x:v>4</x:v>
      </x:c>
      <x:c r="E44" s="14" t="n">
        <x:f>IF(C44=0,"",SUMIFS(Rankings_Master!$B$2:$B$788,Rankings_Master!$D$2:$D$788,A44,Rankings_Master!$E$2:$E$788,B44,Rankings_Master!$J$2:$J$788,"Yes")/C44)</x:f>
        <x:v>10.666666666666666</x:v>
      </x:c>
      <x:c r="F44" s="11" t="n">
        <x:f>IF(C44=0,"",MINIFS(Rankings_Master!$H$2:$H$788,Rankings_Master!$D$2:$D$788,A44,Rankings_Master!$E$2:$E$788,B44,Rankings_Master!$J$2:$J$788,"Yes"))</x:f>
        <x:v>202304</x:v>
      </x:c>
      <x:c r="G44" s="11" t="n">
        <x:f>IF(C44=0,"",MAXIFS(Rankings_Master!$H$2:$H$788,Rankings_Master!$D$2:$D$788,A44,Rankings_Master!$E$2:$E$788,B44,Rankings_Master!$J$2:$J$788,"Yes"))</x:f>
        <x:v>202403</x:v>
      </x:c>
      <x:c r="H44" s="11" t="str">
        <x:f>IF(C44=0,"Partial only",IF(C44&gt;=2,"Yes","No"))</x:f>
        <x:v>Yes</x:v>
      </x:c>
      <x:c r="I44" s="11" t="n">
        <x:f>IF(C44=0,"",INT(G44/100)-INT(F44/100)+1)</x:f>
        <x:v>2</x:v>
      </x:c>
      <x:c r="J44" s="11" t="str">
        <x:v>Self-Help / Psychology</x:v>
      </x:c>
      <x:c r="K44" s="11" t="str">
        <x:v>Piper Verlag</x:v>
      </x:c>
      <x:c r="L44" s="11" t="str">
        <x:v>2022-03-31</x:v>
      </x:c>
      <x:c r="M44" s="11" t="str">
        <x:v>978-3-492-07159-8</x:v>
      </x:c>
      <x:c r="N44" s="11" t="str">
        <x:v>No</x:v>
      </x:c>
      <x:c r="O44" s="11"/>
      <x:c r="P44" s="11"/>
      <x:c r="Q44" s="11" t="str">
        <x:v>Full verified</x:v>
      </x:c>
    </x:row>
    <x:row r="45">
      <x:c r="A45" s="11" t="str">
        <x:v>On Wings of Blood</x:v>
      </x:c>
      <x:c r="B45" s="11" t="str">
        <x:v>Briar Boleyn</x:v>
      </x:c>
      <x:c r="C45" s="11" t="n">
        <x:f>COUNTIFS(Rankings_Master!$D$2:$D$788,A45,Rankings_Master!$E$2:$E$788,B45,Rankings_Master!$J$2:$J$788,"Yes")</x:f>
        <x:v>1</x:v>
      </x:c>
      <x:c r="D45" s="11" t="n">
        <x:f>IF(C45=0,"",MINIFS(Rankings_Master!$B$2:$B$788,Rankings_Master!$D$2:$D$788,A45,Rankings_Master!$E$2:$E$788,B45,Rankings_Master!$J$2:$J$788,"Yes"))</x:f>
        <x:v>2</x:v>
      </x:c>
      <x:c r="E45" s="14" t="n">
        <x:f>IF(C45=0,"",SUMIFS(Rankings_Master!$B$2:$B$788,Rankings_Master!$D$2:$D$788,A45,Rankings_Master!$E$2:$E$788,B45,Rankings_Master!$J$2:$J$788,"Yes")/C45)</x:f>
        <x:v>2</x:v>
      </x:c>
      <x:c r="F45" s="11" t="n">
        <x:f>IF(C45=0,"",MINIFS(Rankings_Master!$H$2:$H$788,Rankings_Master!$D$2:$D$788,A45,Rankings_Master!$E$2:$E$788,B45,Rankings_Master!$J$2:$J$788,"Yes"))</x:f>
        <x:v>202601</x:v>
      </x:c>
      <x:c r="G45" s="11" t="n">
        <x:f>IF(C45=0,"",MAXIFS(Rankings_Master!$H$2:$H$788,Rankings_Master!$D$2:$D$788,A45,Rankings_Master!$E$2:$E$788,B45,Rankings_Master!$J$2:$J$788,"Yes"))</x:f>
        <x:v>202601</x:v>
      </x:c>
      <x:c r="H45" s="11" t="str">
        <x:f>IF(C45=0,"Partial only",IF(C45&gt;=2,"Yes","No"))</x:f>
        <x:v>No</x:v>
      </x:c>
      <x:c r="I45" s="11" t="n">
        <x:f>IF(C45=0,"",INT(G45/100)-INT(F45/100)+1)</x:f>
        <x:v>1</x:v>
      </x:c>
      <x:c r="J45" s="11" t="str">
        <x:v>Fantasy / Romantasy</x:v>
      </x:c>
      <x:c r="K45" s="11" t="str">
        <x:v>arsEdition</x:v>
      </x:c>
      <x:c r="L45" s="11" t="str">
        <x:v>2026-01-26</x:v>
      </x:c>
      <x:c r="M45" s="11" t="str">
        <x:v>978-3-8458-6856-1</x:v>
      </x:c>
      <x:c r="N45" s="11" t="str">
        <x:v>Yes</x:v>
      </x:c>
      <x:c r="O45" s="11" t="n">
        <x:v>1</x:v>
      </x:c>
      <x:c r="P45" s="11" t="str">
        <x:v>No</x:v>
      </x:c>
      <x:c r="Q45" s="11" t="str">
        <x:v>Full verified</x:v>
      </x:c>
    </x:row>
    <x:row r="46">
      <x:c r="A46" s="11" t="str">
        <x:v>Was wir leise hofften</x:v>
      </x:c>
      <x:c r="B46" s="11" t="str">
        <x:v>Brittainy Cherry</x:v>
      </x:c>
      <x:c r="C46" s="11" t="n">
        <x:f>COUNTIFS(Rankings_Master!$D$2:$D$788,A46,Rankings_Master!$E$2:$E$788,B46,Rankings_Master!$J$2:$J$788,"Yes")</x:f>
        <x:v>1</x:v>
      </x:c>
      <x:c r="D46" s="11" t="n">
        <x:f>IF(C46=0,"",MINIFS(Rankings_Master!$B$2:$B$788,Rankings_Master!$D$2:$D$788,A46,Rankings_Master!$E$2:$E$788,B46,Rankings_Master!$J$2:$J$788,"Yes"))</x:f>
        <x:v>19</x:v>
      </x:c>
      <x:c r="E46" s="14" t="n">
        <x:f>IF(C46=0,"",SUMIFS(Rankings_Master!$B$2:$B$788,Rankings_Master!$D$2:$D$788,A46,Rankings_Master!$E$2:$E$788,B46,Rankings_Master!$J$2:$J$788,"Yes")/C46)</x:f>
        <x:v>19</x:v>
      </x:c>
      <x:c r="F46" s="11" t="n">
        <x:f>IF(C46=0,"",MINIFS(Rankings_Master!$H$2:$H$788,Rankings_Master!$D$2:$D$788,A46,Rankings_Master!$E$2:$E$788,B46,Rankings_Master!$J$2:$J$788,"Yes"))</x:f>
        <x:v>202507</x:v>
      </x:c>
      <x:c r="G46" s="11" t="n">
        <x:f>IF(C46=0,"",MAXIFS(Rankings_Master!$H$2:$H$788,Rankings_Master!$D$2:$D$788,A46,Rankings_Master!$E$2:$E$788,B46,Rankings_Master!$J$2:$J$788,"Yes"))</x:f>
        <x:v>202507</x:v>
      </x:c>
      <x:c r="H46" s="11" t="str">
        <x:f>IF(C46=0,"Partial only",IF(C46&gt;=2,"Yes","No"))</x:f>
        <x:v>No</x:v>
      </x:c>
      <x:c r="I46" s="11" t="n">
        <x:f>IF(C46=0,"",INT(G46/100)-INT(F46/100)+1)</x:f>
        <x:v>1</x:v>
      </x:c>
      <x:c r="J46" s="11" t="str">
        <x:v>Romance / Contemporary</x:v>
      </x:c>
      <x:c r="K46" s="11" t="str">
        <x:v>LYX</x:v>
      </x:c>
      <x:c r="L46" s="11" t="str">
        <x:v>2025-07-25</x:v>
      </x:c>
      <x:c r="M46" s="11" t="str">
        <x:v>978-3-7363-2304-9</x:v>
      </x:c>
      <x:c r="N46" s="11" t="str">
        <x:v>Yes</x:v>
      </x:c>
      <x:c r="O46" s="11" t="n">
        <x:v>3</x:v>
      </x:c>
      <x:c r="P46" s="11" t="str">
        <x:v>No</x:v>
      </x:c>
      <x:c r="Q46" s="11" t="str">
        <x:v>Full verified</x:v>
      </x:c>
    </x:row>
    <x:row r="47">
      <x:c r="A47" s="11" t="str">
        <x:v>Wie das Schweigen vor der Flut</x:v>
      </x:c>
      <x:c r="B47" s="11" t="str">
        <x:v>Brittainy Cherry</x:v>
      </x:c>
      <x:c r="C47" s="11" t="n">
        <x:f>COUNTIFS(Rankings_Master!$D$2:$D$788,A47,Rankings_Master!$E$2:$E$788,B47,Rankings_Master!$J$2:$J$788,"Yes")</x:f>
        <x:v>1</x:v>
      </x:c>
      <x:c r="D47" s="11" t="n">
        <x:f>IF(C47=0,"",MINIFS(Rankings_Master!$B$2:$B$788,Rankings_Master!$D$2:$D$788,A47,Rankings_Master!$E$2:$E$788,B47,Rankings_Master!$J$2:$J$788,"Yes"))</x:f>
        <x:v>5</x:v>
      </x:c>
      <x:c r="E47" s="14" t="n">
        <x:f>IF(C47=0,"",SUMIFS(Rankings_Master!$B$2:$B$788,Rankings_Master!$D$2:$D$788,A47,Rankings_Master!$E$2:$E$788,B47,Rankings_Master!$J$2:$J$788,"Yes")/C47)</x:f>
        <x:v>5</x:v>
      </x:c>
      <x:c r="F47" s="11" t="n">
        <x:f>IF(C47=0,"",MINIFS(Rankings_Master!$H$2:$H$788,Rankings_Master!$D$2:$D$788,A47,Rankings_Master!$E$2:$E$788,B47,Rankings_Master!$J$2:$J$788,"Yes"))</x:f>
        <x:v>202607</x:v>
      </x:c>
      <x:c r="G47" s="11" t="n">
        <x:f>IF(C47=0,"",MAXIFS(Rankings_Master!$H$2:$H$788,Rankings_Master!$D$2:$D$788,A47,Rankings_Master!$E$2:$E$788,B47,Rankings_Master!$J$2:$J$788,"Yes"))</x:f>
        <x:v>202607</x:v>
      </x:c>
      <x:c r="H47" s="11" t="str">
        <x:f>IF(C47=0,"Partial only",IF(C47&gt;=2,"Yes","No"))</x:f>
        <x:v>No</x:v>
      </x:c>
      <x:c r="I47" s="11" t="n">
        <x:f>IF(C47=0,"",INT(G47/100)-INT(F47/100)+1)</x:f>
        <x:v>1</x:v>
      </x:c>
      <x:c r="J47" s="11" t="str">
        <x:v>Romance / Contemporary</x:v>
      </x:c>
      <x:c r="K47" s="11" t="str">
        <x:v>LYX</x:v>
      </x:c>
      <x:c r="L47" s="11" t="str">
        <x:v>2026-07-14</x:v>
      </x:c>
      <x:c r="M47" s="11" t="str">
        <x:v>978-3-7363-2702-3</x:v>
      </x:c>
      <x:c r="N47" s="11" t="str">
        <x:v>Yes</x:v>
      </x:c>
      <x:c r="O47" s="11" t="n">
        <x:v>3</x:v>
      </x:c>
      <x:c r="P47" s="11" t="str">
        <x:v>No</x:v>
      </x:c>
      <x:c r="Q47" s="11" t="str">
        <x:v>Full verified</x:v>
      </x:c>
    </x:row>
    <x:row r="48">
      <x:c r="A48" s="11" t="str">
        <x:v>Wie die Ruhe vor dem Sturm</x:v>
      </x:c>
      <x:c r="B48" s="11" t="str">
        <x:v>Brittainy Cherry</x:v>
      </x:c>
      <x:c r="C48" s="11" t="n">
        <x:f>COUNTIFS(Rankings_Master!$D$2:$D$788,A48,Rankings_Master!$E$2:$E$788,B48,Rankings_Master!$J$2:$J$788,"Yes")</x:f>
        <x:v>3</x:v>
      </x:c>
      <x:c r="D48" s="11" t="n">
        <x:f>IF(C48=0,"",MINIFS(Rankings_Master!$B$2:$B$788,Rankings_Master!$D$2:$D$788,A48,Rankings_Master!$E$2:$E$788,B48,Rankings_Master!$J$2:$J$788,"Yes"))</x:f>
        <x:v>9</x:v>
      </x:c>
      <x:c r="E48" s="14" t="n">
        <x:f>IF(C48=0,"",SUMIFS(Rankings_Master!$B$2:$B$788,Rankings_Master!$D$2:$D$788,A48,Rankings_Master!$E$2:$E$788,B48,Rankings_Master!$J$2:$J$788,"Yes")/C48)</x:f>
        <x:v>13</x:v>
      </x:c>
      <x:c r="F48" s="11" t="n">
        <x:f>IF(C48=0,"",MINIFS(Rankings_Master!$H$2:$H$788,Rankings_Master!$D$2:$D$788,A48,Rankings_Master!$E$2:$E$788,B48,Rankings_Master!$J$2:$J$788,"Yes"))</x:f>
        <x:v>202412</x:v>
      </x:c>
      <x:c r="G48" s="11" t="n">
        <x:f>IF(C48=0,"",MAXIFS(Rankings_Master!$H$2:$H$788,Rankings_Master!$D$2:$D$788,A48,Rankings_Master!$E$2:$E$788,B48,Rankings_Master!$J$2:$J$788,"Yes"))</x:f>
        <x:v>202503</x:v>
      </x:c>
      <x:c r="H48" s="11" t="str">
        <x:f>IF(C48=0,"Partial only",IF(C48&gt;=2,"Yes","No"))</x:f>
        <x:v>Yes</x:v>
      </x:c>
      <x:c r="I48" s="11" t="n">
        <x:f>IF(C48=0,"",INT(G48/100)-INT(F48/100)+1)</x:f>
        <x:v>2</x:v>
      </x:c>
      <x:c r="J48" s="11" t="str">
        <x:v>Romance / Contemporary</x:v>
      </x:c>
      <x:c r="K48" s="11" t="str">
        <x:v>LYX</x:v>
      </x:c>
      <x:c r="L48" s="11" t="str">
        <x:v>2020-06-29</x:v>
      </x:c>
      <x:c r="M48" s="11" t="str">
        <x:v>978-3-7363-1279-1</x:v>
      </x:c>
      <x:c r="N48" s="11" t="str">
        <x:v>Yes</x:v>
      </x:c>
      <x:c r="O48" s="11" t="n">
        <x:v>1</x:v>
      </x:c>
      <x:c r="P48" s="11" t="str">
        <x:v>No</x:v>
      </x:c>
      <x:c r="Q48" s="11" t="str">
        <x:v>Full verified</x:v>
      </x:c>
    </x:row>
    <x:row r="49">
      <x:c r="A49" s="11" t="str">
        <x:v>Brimstone - Königin der Finsternis. Krieger der Wölfe</x:v>
      </x:c>
      <x:c r="B49" s="11" t="str">
        <x:v>Callie Hart</x:v>
      </x:c>
      <x:c r="C49" s="11" t="n">
        <x:f>COUNTIFS(Rankings_Master!$D$2:$D$788,A49,Rankings_Master!$E$2:$E$788,B49,Rankings_Master!$J$2:$J$788,"Yes")</x:f>
        <x:v>1</x:v>
      </x:c>
      <x:c r="D49" s="11" t="n">
        <x:f>IF(C49=0,"",MINIFS(Rankings_Master!$B$2:$B$788,Rankings_Master!$D$2:$D$788,A49,Rankings_Master!$E$2:$E$788,B49,Rankings_Master!$J$2:$J$788,"Yes"))</x:f>
        <x:v>13</x:v>
      </x:c>
      <x:c r="E49" s="14" t="n">
        <x:f>IF(C49=0,"",SUMIFS(Rankings_Master!$B$2:$B$788,Rankings_Master!$D$2:$D$788,A49,Rankings_Master!$E$2:$E$788,B49,Rankings_Master!$J$2:$J$788,"Yes")/C49)</x:f>
        <x:v>13</x:v>
      </x:c>
      <x:c r="F49" s="11" t="n">
        <x:f>IF(C49=0,"",MINIFS(Rankings_Master!$H$2:$H$788,Rankings_Master!$D$2:$D$788,A49,Rankings_Master!$E$2:$E$788,B49,Rankings_Master!$J$2:$J$788,"Yes"))</x:f>
        <x:v>202511</x:v>
      </x:c>
      <x:c r="G49" s="11" t="n">
        <x:f>IF(C49=0,"",MAXIFS(Rankings_Master!$H$2:$H$788,Rankings_Master!$D$2:$D$788,A49,Rankings_Master!$E$2:$E$788,B49,Rankings_Master!$J$2:$J$788,"Yes"))</x:f>
        <x:v>202511</x:v>
      </x:c>
      <x:c r="H49" s="11" t="str">
        <x:f>IF(C49=0,"Partial only",IF(C49&gt;=2,"Yes","No"))</x:f>
        <x:v>No</x:v>
      </x:c>
      <x:c r="I49" s="11" t="n">
        <x:f>IF(C49=0,"",INT(G49/100)-INT(F49/100)+1)</x:f>
        <x:v>1</x:v>
      </x:c>
      <x:c r="J49" s="11" t="str">
        <x:v>Fantasy / Romantasy</x:v>
      </x:c>
      <x:c r="K49" s="11" t="str">
        <x:v>Hodderscape</x:v>
      </x:c>
      <x:c r="L49" s="11" t="str">
        <x:v>2025-11-18</x:v>
      </x:c>
      <x:c r="M49" s="11" t="str">
        <x:v>978-1-3997-5470-5</x:v>
      </x:c>
      <x:c r="N49" s="11" t="str">
        <x:v>Yes</x:v>
      </x:c>
      <x:c r="O49" s="11" t="n">
        <x:v>2</x:v>
      </x:c>
      <x:c r="P49" s="11" t="str">
        <x:v>No</x:v>
      </x:c>
      <x:c r="Q49" s="11" t="str">
        <x:v>Edition ambiguous</x:v>
      </x:c>
    </x:row>
    <x:row r="50">
      <x:c r="A50" s="11" t="str">
        <x:v>Quicksilver - Tochter des Silbers. Gefangener der Schatten</x:v>
      </x:c>
      <x:c r="B50" s="11" t="str">
        <x:v>Callie Hart</x:v>
      </x:c>
      <x:c r="C50" s="11" t="n">
        <x:f>COUNTIFS(Rankings_Master!$D$2:$D$788,A50,Rankings_Master!$E$2:$E$788,B50,Rankings_Master!$J$2:$J$788,"Yes")</x:f>
        <x:v>1</x:v>
      </x:c>
      <x:c r="D50" s="11" t="n">
        <x:f>IF(C50=0,"",MINIFS(Rankings_Master!$B$2:$B$788,Rankings_Master!$D$2:$D$788,A50,Rankings_Master!$E$2:$E$788,B50,Rankings_Master!$J$2:$J$788,"Yes"))</x:f>
        <x:v>18</x:v>
      </x:c>
      <x:c r="E50" s="14" t="n">
        <x:f>IF(C50=0,"",SUMIFS(Rankings_Master!$B$2:$B$788,Rankings_Master!$D$2:$D$788,A50,Rankings_Master!$E$2:$E$788,B50,Rankings_Master!$J$2:$J$788,"Yes")/C50)</x:f>
        <x:v>18</x:v>
      </x:c>
      <x:c r="F50" s="11" t="n">
        <x:f>IF(C50=0,"",MINIFS(Rankings_Master!$H$2:$H$788,Rankings_Master!$D$2:$D$788,A50,Rankings_Master!$E$2:$E$788,B50,Rankings_Master!$J$2:$J$788,"Yes"))</x:f>
        <x:v>202504</x:v>
      </x:c>
      <x:c r="G50" s="11" t="n">
        <x:f>IF(C50=0,"",MAXIFS(Rankings_Master!$H$2:$H$788,Rankings_Master!$D$2:$D$788,A50,Rankings_Master!$E$2:$E$788,B50,Rankings_Master!$J$2:$J$788,"Yes"))</x:f>
        <x:v>202504</x:v>
      </x:c>
      <x:c r="H50" s="11" t="str">
        <x:f>IF(C50=0,"Partial only",IF(C50&gt;=2,"Yes","No"))</x:f>
        <x:v>No</x:v>
      </x:c>
      <x:c r="I50" s="11" t="n">
        <x:f>IF(C50=0,"",INT(G50/100)-INT(F50/100)+1)</x:f>
        <x:v>1</x:v>
      </x:c>
      <x:c r="J50" s="11" t="str">
        <x:v>Fantasy / Romantasy</x:v>
      </x:c>
      <x:c r="K50" s="11" t="str">
        <x:v>Hodderscape</x:v>
      </x:c>
      <x:c r="L50" s="11" t="str">
        <x:v>2024-12-03</x:v>
      </x:c>
      <x:c r="M50" s="11" t="str">
        <x:v>978-1-3987-4541-3</x:v>
      </x:c>
      <x:c r="N50" s="11" t="str">
        <x:v>Yes</x:v>
      </x:c>
      <x:c r="O50" s="11" t="n">
        <x:v>1</x:v>
      </x:c>
      <x:c r="P50" s="11" t="str">
        <x:v>No</x:v>
      </x:c>
      <x:c r="Q50" s="11" t="str">
        <x:v>Edition ambiguous</x:v>
      </x:c>
    </x:row>
    <x:row r="51">
      <x:c r="A51" s="11" t="str">
        <x:v>Children of Fallen Gods (War of Lost Hearts 2)</x:v>
      </x:c>
      <x:c r="B51" s="11" t="str">
        <x:v>Carissa Broadbent</x:v>
      </x:c>
      <x:c r="C51" s="11" t="n">
        <x:f>COUNTIFS(Rankings_Master!$D$2:$D$788,A51,Rankings_Master!$E$2:$E$788,B51,Rankings_Master!$J$2:$J$788,"Yes")</x:f>
        <x:v>1</x:v>
      </x:c>
      <x:c r="D51" s="11" t="n">
        <x:f>IF(C51=0,"",MINIFS(Rankings_Master!$B$2:$B$788,Rankings_Master!$D$2:$D$788,A51,Rankings_Master!$E$2:$E$788,B51,Rankings_Master!$J$2:$J$788,"Yes"))</x:f>
        <x:v>15</x:v>
      </x:c>
      <x:c r="E51" s="14" t="n">
        <x:f>IF(C51=0,"",SUMIFS(Rankings_Master!$B$2:$B$788,Rankings_Master!$D$2:$D$788,A51,Rankings_Master!$E$2:$E$788,B51,Rankings_Master!$J$2:$J$788,"Yes")/C51)</x:f>
        <x:v>15</x:v>
      </x:c>
      <x:c r="F51" s="11" t="n">
        <x:f>IF(C51=0,"",MINIFS(Rankings_Master!$H$2:$H$788,Rankings_Master!$D$2:$D$788,A51,Rankings_Master!$E$2:$E$788,B51,Rankings_Master!$J$2:$J$788,"Yes"))</x:f>
        <x:v>202601</x:v>
      </x:c>
      <x:c r="G51" s="11" t="n">
        <x:f>IF(C51=0,"",MAXIFS(Rankings_Master!$H$2:$H$788,Rankings_Master!$D$2:$D$788,A51,Rankings_Master!$E$2:$E$788,B51,Rankings_Master!$J$2:$J$788,"Yes"))</x:f>
        <x:v>202601</x:v>
      </x:c>
      <x:c r="H51" s="11" t="str">
        <x:f>IF(C51=0,"Partial only",IF(C51&gt;=2,"Yes","No"))</x:f>
        <x:v>No</x:v>
      </x:c>
      <x:c r="I51" s="11" t="n">
        <x:f>IF(C51=0,"",INT(G51/100)-INT(F51/100)+1)</x:f>
        <x:v>1</x:v>
      </x:c>
      <x:c r="J51" s="11" t="str">
        <x:v>Fantasy / Romantasy</x:v>
      </x:c>
      <x:c r="K51" s="11" t="str">
        <x:v>Carlsen</x:v>
      </x:c>
      <x:c r="L51" s="11" t="str">
        <x:v>2026-01-15</x:v>
      </x:c>
      <x:c r="M51" s="11" t="str">
        <x:v>978-3-551-58615-5</x:v>
      </x:c>
      <x:c r="N51" s="11" t="str">
        <x:v>Yes</x:v>
      </x:c>
      <x:c r="O51" s="11" t="n">
        <x:v>2</x:v>
      </x:c>
      <x:c r="P51" s="11" t="str">
        <x:v>No</x:v>
      </x:c>
      <x:c r="Q51" s="11" t="str">
        <x:v>Full verified</x:v>
      </x:c>
    </x:row>
    <x:row r="52">
      <x:c r="A52" s="11" t="str">
        <x:v>Daughter of No Worlds (War of Lost Hearts 1)</x:v>
      </x:c>
      <x:c r="B52" s="11" t="str">
        <x:v>Carissa Broadbent</x:v>
      </x:c>
      <x:c r="C52" s="11" t="n">
        <x:f>COUNTIFS(Rankings_Master!$D$2:$D$788,A52,Rankings_Master!$E$2:$E$788,B52,Rankings_Master!$J$2:$J$788,"Yes")</x:f>
        <x:v>1</x:v>
      </x:c>
      <x:c r="D52" s="11" t="n">
        <x:f>IF(C52=0,"",MINIFS(Rankings_Master!$B$2:$B$788,Rankings_Master!$D$2:$D$788,A52,Rankings_Master!$E$2:$E$788,B52,Rankings_Master!$J$2:$J$788,"Yes"))</x:f>
        <x:v>4</x:v>
      </x:c>
      <x:c r="E52" s="14" t="n">
        <x:f>IF(C52=0,"",SUMIFS(Rankings_Master!$B$2:$B$788,Rankings_Master!$D$2:$D$788,A52,Rankings_Master!$E$2:$E$788,B52,Rankings_Master!$J$2:$J$788,"Yes")/C52)</x:f>
        <x:v>4</x:v>
      </x:c>
      <x:c r="F52" s="11" t="n">
        <x:f>IF(C52=0,"",MINIFS(Rankings_Master!$H$2:$H$788,Rankings_Master!$D$2:$D$788,A52,Rankings_Master!$E$2:$E$788,B52,Rankings_Master!$J$2:$J$788,"Yes"))</x:f>
        <x:v>202509</x:v>
      </x:c>
      <x:c r="G52" s="11" t="n">
        <x:f>IF(C52=0,"",MAXIFS(Rankings_Master!$H$2:$H$788,Rankings_Master!$D$2:$D$788,A52,Rankings_Master!$E$2:$E$788,B52,Rankings_Master!$J$2:$J$788,"Yes"))</x:f>
        <x:v>202509</x:v>
      </x:c>
      <x:c r="H52" s="11" t="str">
        <x:f>IF(C52=0,"Partial only",IF(C52&gt;=2,"Yes","No"))</x:f>
        <x:v>No</x:v>
      </x:c>
      <x:c r="I52" s="11" t="n">
        <x:f>IF(C52=0,"",INT(G52/100)-INT(F52/100)+1)</x:f>
        <x:v>1</x:v>
      </x:c>
      <x:c r="J52" s="11" t="str">
        <x:v>Fantasy / Romantasy</x:v>
      </x:c>
      <x:c r="K52" s="11" t="str">
        <x:v>Carlsen</x:v>
      </x:c>
      <x:c r="L52" s="11" t="str">
        <x:v>2025-09-01</x:v>
      </x:c>
      <x:c r="M52" s="11" t="str">
        <x:v>978-3-551-58614-8</x:v>
      </x:c>
      <x:c r="N52" s="11" t="str">
        <x:v>Yes</x:v>
      </x:c>
      <x:c r="O52" s="11" t="n">
        <x:v>1</x:v>
      </x:c>
      <x:c r="P52" s="11" t="str">
        <x:v>No</x:v>
      </x:c>
      <x:c r="Q52" s="11" t="str">
        <x:v>Full verified</x:v>
      </x:c>
    </x:row>
    <x:row r="53">
      <x:c r="A53" s="11" t="str">
        <x:v>The Serpent and the Wings of Night (Crowns of Nyaxia 1)</x:v>
      </x:c>
      <x:c r="B53" s="11" t="str">
        <x:v>Carissa Broadbent</x:v>
      </x:c>
      <x:c r="C53" s="11" t="n">
        <x:f>COUNTIFS(Rankings_Master!$D$2:$D$788,A53,Rankings_Master!$E$2:$E$788,B53,Rankings_Master!$J$2:$J$788,"Yes")</x:f>
        <x:v>3</x:v>
      </x:c>
      <x:c r="D53" s="11" t="n">
        <x:f>IF(C53=0,"",MINIFS(Rankings_Master!$B$2:$B$788,Rankings_Master!$D$2:$D$788,A53,Rankings_Master!$E$2:$E$788,B53,Rankings_Master!$J$2:$J$788,"Yes"))</x:f>
        <x:v>1</x:v>
      </x:c>
      <x:c r="E53" s="14" t="n">
        <x:f>IF(C53=0,"",SUMIFS(Rankings_Master!$B$2:$B$788,Rankings_Master!$D$2:$D$788,A53,Rankings_Master!$E$2:$E$788,B53,Rankings_Master!$J$2:$J$788,"Yes")/C53)</x:f>
        <x:v>4.333333333333333</x:v>
      </x:c>
      <x:c r="F53" s="11" t="n">
        <x:f>IF(C53=0,"",MINIFS(Rankings_Master!$H$2:$H$788,Rankings_Master!$D$2:$D$788,A53,Rankings_Master!$E$2:$E$788,B53,Rankings_Master!$J$2:$J$788,"Yes"))</x:f>
        <x:v>202402</x:v>
      </x:c>
      <x:c r="G53" s="11" t="n">
        <x:f>IF(C53=0,"",MAXIFS(Rankings_Master!$H$2:$H$788,Rankings_Master!$D$2:$D$788,A53,Rankings_Master!$E$2:$E$788,B53,Rankings_Master!$J$2:$J$788,"Yes"))</x:f>
        <x:v>202404</x:v>
      </x:c>
      <x:c r="H53" s="11" t="str">
        <x:f>IF(C53=0,"Partial only",IF(C53&gt;=2,"Yes","No"))</x:f>
        <x:v>Yes</x:v>
      </x:c>
      <x:c r="I53" s="11" t="n">
        <x:f>IF(C53=0,"",INT(G53/100)-INT(F53/100)+1)</x:f>
        <x:v>1</x:v>
      </x:c>
      <x:c r="J53" s="11" t="str">
        <x:v>Fantasy / Romantasy</x:v>
      </x:c>
      <x:c r="K53" s="11" t="str">
        <x:v>Carlsen</x:v>
      </x:c>
      <x:c r="L53" s="11" t="str">
        <x:v>2024-02-15</x:v>
      </x:c>
      <x:c r="M53" s="11" t="str">
        <x:v>978-3-551-58551-6</x:v>
      </x:c>
      <x:c r="N53" s="11" t="str">
        <x:v>Yes</x:v>
      </x:c>
      <x:c r="O53" s="11" t="n">
        <x:v>1</x:v>
      </x:c>
      <x:c r="P53" s="11" t="str">
        <x:v>No</x:v>
      </x:c>
      <x:c r="Q53" s="11" t="str">
        <x:v>Full verified</x:v>
      </x:c>
    </x:row>
    <x:row r="54">
      <x:c r="A54" s="11" t="str">
        <x:v>Der Sommer unseres Lebens</x:v>
      </x:c>
      <x:c r="B54" s="11" t="str">
        <x:v>Carley Fortune</x:v>
      </x:c>
      <x:c r="C54" s="11" t="n">
        <x:f>COUNTIFS(Rankings_Master!$D$2:$D$788,A54,Rankings_Master!$E$2:$E$788,B54,Rankings_Master!$J$2:$J$788,"Yes")</x:f>
        <x:v>1</x:v>
      </x:c>
      <x:c r="D54" s="11" t="n">
        <x:f>IF(C54=0,"",MINIFS(Rankings_Master!$B$2:$B$788,Rankings_Master!$D$2:$D$788,A54,Rankings_Master!$E$2:$E$788,B54,Rankings_Master!$J$2:$J$788,"Yes"))</x:f>
        <x:v>14</x:v>
      </x:c>
      <x:c r="E54" s="14" t="n">
        <x:f>IF(C54=0,"",SUMIFS(Rankings_Master!$B$2:$B$788,Rankings_Master!$D$2:$D$788,A54,Rankings_Master!$E$2:$E$788,B54,Rankings_Master!$J$2:$J$788,"Yes")/C54)</x:f>
        <x:v>14</x:v>
      </x:c>
      <x:c r="F54" s="11" t="n">
        <x:f>IF(C54=0,"",MINIFS(Rankings_Master!$H$2:$H$788,Rankings_Master!$D$2:$D$788,A54,Rankings_Master!$E$2:$E$788,B54,Rankings_Master!$J$2:$J$788,"Yes"))</x:f>
        <x:v>202607</x:v>
      </x:c>
      <x:c r="G54" s="11" t="n">
        <x:f>IF(C54=0,"",MAXIFS(Rankings_Master!$H$2:$H$788,Rankings_Master!$D$2:$D$788,A54,Rankings_Master!$E$2:$E$788,B54,Rankings_Master!$J$2:$J$788,"Yes"))</x:f>
        <x:v>202607</x:v>
      </x:c>
      <x:c r="H54" s="11" t="str">
        <x:f>IF(C54=0,"Partial only",IF(C54&gt;=2,"Yes","No"))</x:f>
        <x:v>No</x:v>
      </x:c>
      <x:c r="I54" s="11" t="n">
        <x:f>IF(C54=0,"",INT(G54/100)-INT(F54/100)+1)</x:f>
        <x:v>1</x:v>
      </x:c>
      <x:c r="J54" s="11" t="str">
        <x:v>Romance / Contemporary</x:v>
      </x:c>
      <x:c r="K54" s="11" t="str">
        <x:v>Penguin</x:v>
      </x:c>
      <x:c r="L54" s="11" t="str">
        <x:v>2026-04-16</x:v>
      </x:c>
      <x:c r="M54" s="11" t="str">
        <x:v>978-3-328-11369-0</x:v>
      </x:c>
      <x:c r="N54" s="11" t="str">
        <x:v>Yes</x:v>
      </x:c>
      <x:c r="O54" s="11" t="n">
        <x:v>2</x:v>
      </x:c>
      <x:c r="P54" s="11" t="str">
        <x:v>No</x:v>
      </x:c>
      <x:c r="Q54" s="11" t="str">
        <x:v>Full verified</x:v>
      </x:c>
    </x:row>
    <x:row r="55">
      <x:c r="A55" s="11" t="str">
        <x:v>Der Sturm zwischen uns</x:v>
      </x:c>
      <x:c r="B55" s="11" t="str">
        <x:v>Carley Fortune</x:v>
      </x:c>
      <x:c r="C55" s="11" t="n">
        <x:f>COUNTIFS(Rankings_Master!$D$2:$D$788,A55,Rankings_Master!$E$2:$E$788,B55,Rankings_Master!$J$2:$J$788,"Yes")</x:f>
        <x:v>2</x:v>
      </x:c>
      <x:c r="D55" s="11" t="n">
        <x:f>IF(C55=0,"",MINIFS(Rankings_Master!$B$2:$B$788,Rankings_Master!$D$2:$D$788,A55,Rankings_Master!$E$2:$E$788,B55,Rankings_Master!$J$2:$J$788,"Yes"))</x:f>
        <x:v>9</x:v>
      </x:c>
      <x:c r="E55" s="14" t="n">
        <x:f>IF(C55=0,"",SUMIFS(Rankings_Master!$B$2:$B$788,Rankings_Master!$D$2:$D$788,A55,Rankings_Master!$E$2:$E$788,B55,Rankings_Master!$J$2:$J$788,"Yes")/C55)</x:f>
        <x:v>10.5</x:v>
      </x:c>
      <x:c r="F55" s="11" t="n">
        <x:f>IF(C55=0,"",MINIFS(Rankings_Master!$H$2:$H$788,Rankings_Master!$D$2:$D$788,A55,Rankings_Master!$E$2:$E$788,B55,Rankings_Master!$J$2:$J$788,"Yes"))</x:f>
        <x:v>202605</x:v>
      </x:c>
      <x:c r="G55" s="11" t="n">
        <x:f>IF(C55=0,"",MAXIFS(Rankings_Master!$H$2:$H$788,Rankings_Master!$D$2:$D$788,A55,Rankings_Master!$E$2:$E$788,B55,Rankings_Master!$J$2:$J$788,"Yes"))</x:f>
        <x:v>202606</x:v>
      </x:c>
      <x:c r="H55" s="11" t="str">
        <x:f>IF(C55=0,"Partial only",IF(C55&gt;=2,"Yes","No"))</x:f>
        <x:v>Yes</x:v>
      </x:c>
      <x:c r="I55" s="11" t="n">
        <x:f>IF(C55=0,"",INT(G55/100)-INT(F55/100)+1)</x:f>
        <x:v>1</x:v>
      </x:c>
      <x:c r="J55" s="11" t="str">
        <x:v>Romance / Contemporary</x:v>
      </x:c>
      <x:c r="K55" s="11" t="str">
        <x:v>Penguin</x:v>
      </x:c>
      <x:c r="L55" s="11" t="str">
        <x:v>2026-05-13</x:v>
      </x:c>
      <x:c r="M55" s="11" t="str">
        <x:v>978-3-328-11459-8</x:v>
      </x:c>
      <x:c r="N55" s="11" t="str">
        <x:v>No</x:v>
      </x:c>
      <x:c r="O55" s="11"/>
      <x:c r="P55" s="11" t="str">
        <x:v>No</x:v>
      </x:c>
      <x:c r="Q55" s="11" t="str">
        <x:v>Full verified</x:v>
      </x:c>
    </x:row>
    <x:row r="56">
      <x:c r="A56" s="11" t="str">
        <x:v>Dieser Sommer wird anders</x:v>
      </x:c>
      <x:c r="B56" s="11" t="str">
        <x:v>Carley Fortune</x:v>
      </x:c>
      <x:c r="C56" s="11" t="n">
        <x:f>COUNTIFS(Rankings_Master!$D$2:$D$788,A56,Rankings_Master!$E$2:$E$788,B56,Rankings_Master!$J$2:$J$788,"Yes")</x:f>
        <x:v>1</x:v>
      </x:c>
      <x:c r="D56" s="11" t="n">
        <x:f>IF(C56=0,"",MINIFS(Rankings_Master!$B$2:$B$788,Rankings_Master!$D$2:$D$788,A56,Rankings_Master!$E$2:$E$788,B56,Rankings_Master!$J$2:$J$788,"Yes"))</x:f>
        <x:v>18</x:v>
      </x:c>
      <x:c r="E56" s="14" t="n">
        <x:f>IF(C56=0,"",SUMIFS(Rankings_Master!$B$2:$B$788,Rankings_Master!$D$2:$D$788,A56,Rankings_Master!$E$2:$E$788,B56,Rankings_Master!$J$2:$J$788,"Yes")/C56)</x:f>
        <x:v>18</x:v>
      </x:c>
      <x:c r="F56" s="11" t="n">
        <x:f>IF(C56=0,"",MINIFS(Rankings_Master!$H$2:$H$788,Rankings_Master!$D$2:$D$788,A56,Rankings_Master!$E$2:$E$788,B56,Rankings_Master!$J$2:$J$788,"Yes"))</x:f>
        <x:v>202505</x:v>
      </x:c>
      <x:c r="G56" s="11" t="n">
        <x:f>IF(C56=0,"",MAXIFS(Rankings_Master!$H$2:$H$788,Rankings_Master!$D$2:$D$788,A56,Rankings_Master!$E$2:$E$788,B56,Rankings_Master!$J$2:$J$788,"Yes"))</x:f>
        <x:v>202505</x:v>
      </x:c>
      <x:c r="H56" s="11" t="str">
        <x:f>IF(C56=0,"Partial only",IF(C56&gt;=2,"Yes","No"))</x:f>
        <x:v>No</x:v>
      </x:c>
      <x:c r="I56" s="11" t="n">
        <x:f>IF(C56=0,"",INT(G56/100)-INT(F56/100)+1)</x:f>
        <x:v>1</x:v>
      </x:c>
      <x:c r="J56" s="11" t="str">
        <x:v>Romance / Contemporary</x:v>
      </x:c>
      <x:c r="K56" s="11" t="str">
        <x:v>Penguin</x:v>
      </x:c>
      <x:c r="L56" s="11" t="str">
        <x:v>2025</x:v>
      </x:c>
      <x:c r="M56" s="11" t="str">
        <x:v>978-3-328-11257-0</x:v>
      </x:c>
      <x:c r="N56" s="11" t="str">
        <x:v>No</x:v>
      </x:c>
      <x:c r="O56" s="11"/>
      <x:c r="P56" s="11" t="str">
        <x:v>No</x:v>
      </x:c>
      <x:c r="Q56" s="11" t="str">
        <x:v>Core verified</x:v>
      </x:c>
    </x:row>
    <x:row r="57">
      <x:c r="A57" s="11" t="str">
        <x:v>Fünf Sommer mit dir</x:v>
      </x:c>
      <x:c r="B57" s="11" t="str">
        <x:v>Carley Fortune</x:v>
      </x:c>
      <x:c r="C57" s="11" t="n">
        <x:f>COUNTIFS(Rankings_Master!$D$2:$D$788,A57,Rankings_Master!$E$2:$E$788,B57,Rankings_Master!$J$2:$J$788,"Yes")</x:f>
        <x:v>5</x:v>
      </x:c>
      <x:c r="D57" s="11" t="n">
        <x:f>IF(C57=0,"",MINIFS(Rankings_Master!$B$2:$B$788,Rankings_Master!$D$2:$D$788,A57,Rankings_Master!$E$2:$E$788,B57,Rankings_Master!$J$2:$J$788,"Yes"))</x:f>
        <x:v>8</x:v>
      </x:c>
      <x:c r="E57" s="14" t="n">
        <x:f>IF(C57=0,"",SUMIFS(Rankings_Master!$B$2:$B$788,Rankings_Master!$D$2:$D$788,A57,Rankings_Master!$E$2:$E$788,B57,Rankings_Master!$J$2:$J$788,"Yes")/C57)</x:f>
        <x:v>11.8</x:v>
      </x:c>
      <x:c r="F57" s="11" t="n">
        <x:f>IF(C57=0,"",MINIFS(Rankings_Master!$H$2:$H$788,Rankings_Master!$D$2:$D$788,A57,Rankings_Master!$E$2:$E$788,B57,Rankings_Master!$J$2:$J$788,"Yes"))</x:f>
        <x:v>202305</x:v>
      </x:c>
      <x:c r="G57" s="11" t="n">
        <x:f>IF(C57=0,"",MAXIFS(Rankings_Master!$H$2:$H$788,Rankings_Master!$D$2:$D$788,A57,Rankings_Master!$E$2:$E$788,B57,Rankings_Master!$J$2:$J$788,"Yes"))</x:f>
        <x:v>202607</x:v>
      </x:c>
      <x:c r="H57" s="11" t="str">
        <x:f>IF(C57=0,"Partial only",IF(C57&gt;=2,"Yes","No"))</x:f>
        <x:v>Yes</x:v>
      </x:c>
      <x:c r="I57" s="11" t="n">
        <x:f>IF(C57=0,"",INT(G57/100)-INT(F57/100)+1)</x:f>
        <x:v>4</x:v>
      </x:c>
      <x:c r="J57" s="11" t="str">
        <x:v>Romance / Contemporary</x:v>
      </x:c>
      <x:c r="K57" s="11" t="str">
        <x:v>Penguin</x:v>
      </x:c>
      <x:c r="L57" s="11" t="str">
        <x:v>2023-04-12</x:v>
      </x:c>
      <x:c r="M57" s="11" t="str">
        <x:v>978-3-328-10900-6</x:v>
      </x:c>
      <x:c r="N57" s="11" t="str">
        <x:v>No</x:v>
      </x:c>
      <x:c r="O57" s="11"/>
      <x:c r="P57" s="11" t="str">
        <x:v>No</x:v>
      </x:c>
      <x:c r="Q57" s="11" t="str">
        <x:v>Full verified</x:v>
      </x:c>
    </x:row>
    <x:row r="58">
      <x:c r="A58" s="11" t="str">
        <x:v>Nächsten Sommer am See</x:v>
      </x:c>
      <x:c r="B58" s="11" t="str">
        <x:v>Carley Fortune</x:v>
      </x:c>
      <x:c r="C58" s="11" t="n">
        <x:f>COUNTIFS(Rankings_Master!$D$2:$D$788,A58,Rankings_Master!$E$2:$E$788,B58,Rankings_Master!$J$2:$J$788,"Yes")</x:f>
        <x:v>2</x:v>
      </x:c>
      <x:c r="D58" s="11" t="n">
        <x:f>IF(C58=0,"",MINIFS(Rankings_Master!$B$2:$B$788,Rankings_Master!$D$2:$D$788,A58,Rankings_Master!$E$2:$E$788,B58,Rankings_Master!$J$2:$J$788,"Yes"))</x:f>
        <x:v>13</x:v>
      </x:c>
      <x:c r="E58" s="14" t="n">
        <x:f>IF(C58=0,"",SUMIFS(Rankings_Master!$B$2:$B$788,Rankings_Master!$D$2:$D$788,A58,Rankings_Master!$E$2:$E$788,B58,Rankings_Master!$J$2:$J$788,"Yes")/C58)</x:f>
        <x:v>15</x:v>
      </x:c>
      <x:c r="F58" s="11" t="n">
        <x:f>IF(C58=0,"",MINIFS(Rankings_Master!$H$2:$H$788,Rankings_Master!$D$2:$D$788,A58,Rankings_Master!$E$2:$E$788,B58,Rankings_Master!$J$2:$J$788,"Yes"))</x:f>
        <x:v>202406</x:v>
      </x:c>
      <x:c r="G58" s="11" t="n">
        <x:f>IF(C58=0,"",MAXIFS(Rankings_Master!$H$2:$H$788,Rankings_Master!$D$2:$D$788,A58,Rankings_Master!$E$2:$E$788,B58,Rankings_Master!$J$2:$J$788,"Yes"))</x:f>
        <x:v>202407</x:v>
      </x:c>
      <x:c r="H58" s="11" t="str">
        <x:f>IF(C58=0,"Partial only",IF(C58&gt;=2,"Yes","No"))</x:f>
        <x:v>Yes</x:v>
      </x:c>
      <x:c r="I58" s="11" t="n">
        <x:f>IF(C58=0,"",INT(G58/100)-INT(F58/100)+1)</x:f>
        <x:v>1</x:v>
      </x:c>
      <x:c r="J58" s="11" t="str">
        <x:v>Romance / Contemporary</x:v>
      </x:c>
      <x:c r="K58" s="11" t="str">
        <x:v>Penguin</x:v>
      </x:c>
      <x:c r="L58" s="11" t="str">
        <x:v>2024-04-11</x:v>
      </x:c>
      <x:c r="M58" s="11" t="str">
        <x:v>978-3-328-11094-1</x:v>
      </x:c>
      <x:c r="N58" s="11" t="str">
        <x:v>No</x:v>
      </x:c>
      <x:c r="O58" s="11"/>
      <x:c r="P58" s="11" t="str">
        <x:v>No</x:v>
      </x:c>
      <x:c r="Q58" s="11" t="str">
        <x:v>Full verified</x:v>
      </x:c>
    </x:row>
    <x:row r="59">
      <x:c r="A59" s="11" t="str">
        <x:v>Yesteryear</x:v>
      </x:c>
      <x:c r="B59" s="11" t="str">
        <x:v>Caro Claire Burke</x:v>
      </x:c>
      <x:c r="C59" s="11" t="n">
        <x:f>COUNTIFS(Rankings_Master!$D$2:$D$788,A59,Rankings_Master!$E$2:$E$788,B59,Rankings_Master!$J$2:$J$788,"Yes")</x:f>
        <x:v>3</x:v>
      </x:c>
      <x:c r="D59" s="11" t="n">
        <x:f>IF(C59=0,"",MINIFS(Rankings_Master!$B$2:$B$788,Rankings_Master!$D$2:$D$788,A59,Rankings_Master!$E$2:$E$788,B59,Rankings_Master!$J$2:$J$788,"Yes"))</x:f>
        <x:v>2</x:v>
      </x:c>
      <x:c r="E59" s="14" t="n">
        <x:f>IF(C59=0,"",SUMIFS(Rankings_Master!$B$2:$B$788,Rankings_Master!$D$2:$D$788,A59,Rankings_Master!$E$2:$E$788,B59,Rankings_Master!$J$2:$J$788,"Yes")/C59)</x:f>
        <x:v>4.333333333333333</x:v>
      </x:c>
      <x:c r="F59" s="11" t="n">
        <x:f>IF(C59=0,"",MINIFS(Rankings_Master!$H$2:$H$788,Rankings_Master!$D$2:$D$788,A59,Rankings_Master!$E$2:$E$788,B59,Rankings_Master!$J$2:$J$788,"Yes"))</x:f>
        <x:v>202605</x:v>
      </x:c>
      <x:c r="G59" s="11" t="n">
        <x:f>IF(C59=0,"",MAXIFS(Rankings_Master!$H$2:$H$788,Rankings_Master!$D$2:$D$788,A59,Rankings_Master!$E$2:$E$788,B59,Rankings_Master!$J$2:$J$788,"Yes"))</x:f>
        <x:v>202607</x:v>
      </x:c>
      <x:c r="H59" s="11" t="str">
        <x:f>IF(C59=0,"Partial only",IF(C59&gt;=2,"Yes","No"))</x:f>
        <x:v>Yes</x:v>
      </x:c>
      <x:c r="I59" s="11" t="n">
        <x:f>IF(C59=0,"",INT(G59/100)-INT(F59/100)+1)</x:f>
        <x:v>1</x:v>
      </x:c>
      <x:c r="J59" s="11" t="str">
        <x:v>Contemporary Fiction</x:v>
      </x:c>
      <x:c r="K59" s="11" t="str">
        <x:v>Heyne</x:v>
      </x:c>
      <x:c r="L59" s="11" t="str">
        <x:v>2026-04-29</x:v>
      </x:c>
      <x:c r="M59" s="11" t="str">
        <x:v>978-3-453-27535-5</x:v>
      </x:c>
      <x:c r="N59" s="11" t="str">
        <x:v>No</x:v>
      </x:c>
      <x:c r="O59" s="11"/>
      <x:c r="P59" s="11" t="str">
        <x:v>No</x:v>
      </x:c>
      <x:c r="Q59" s="11" t="str">
        <x:v>Full verified</x:v>
      </x:c>
    </x:row>
    <x:row r="60">
      <x:c r="A60" s="11" t="str">
        <x:v>Colliding Hopes (Driven Dreams-Dilogie)</x:v>
      </x:c>
      <x:c r="B60" s="11" t="str">
        <x:v>Carolin Wahl</x:v>
      </x:c>
      <x:c r="C60" s="11" t="n">
        <x:f>COUNTIFS(Rankings_Master!$D$2:$D$788,A60,Rankings_Master!$E$2:$E$788,B60,Rankings_Master!$J$2:$J$788,"Yes")</x:f>
        <x:v>1</x:v>
      </x:c>
      <x:c r="D60" s="11" t="n">
        <x:f>IF(C60=0,"",MINIFS(Rankings_Master!$B$2:$B$788,Rankings_Master!$D$2:$D$788,A60,Rankings_Master!$E$2:$E$788,B60,Rankings_Master!$J$2:$J$788,"Yes"))</x:f>
        <x:v>7</x:v>
      </x:c>
      <x:c r="E60" s="14" t="n">
        <x:f>IF(C60=0,"",SUMIFS(Rankings_Master!$B$2:$B$788,Rankings_Master!$D$2:$D$788,A60,Rankings_Master!$E$2:$E$788,B60,Rankings_Master!$J$2:$J$788,"Yes")/C60)</x:f>
        <x:v>7</x:v>
      </x:c>
      <x:c r="F60" s="11" t="n">
        <x:f>IF(C60=0,"",MINIFS(Rankings_Master!$H$2:$H$788,Rankings_Master!$D$2:$D$788,A60,Rankings_Master!$E$2:$E$788,B60,Rankings_Master!$J$2:$J$788,"Yes"))</x:f>
        <x:v>202604</x:v>
      </x:c>
      <x:c r="G60" s="11" t="n">
        <x:f>IF(C60=0,"",MAXIFS(Rankings_Master!$H$2:$H$788,Rankings_Master!$D$2:$D$788,A60,Rankings_Master!$E$2:$E$788,B60,Rankings_Master!$J$2:$J$788,"Yes"))</x:f>
        <x:v>202604</x:v>
      </x:c>
      <x:c r="H60" s="11" t="str">
        <x:f>IF(C60=0,"Partial only",IF(C60&gt;=2,"Yes","No"))</x:f>
        <x:v>No</x:v>
      </x:c>
      <x:c r="I60" s="11" t="n">
        <x:f>IF(C60=0,"",INT(G60/100)-INT(F60/100)+1)</x:f>
        <x:v>1</x:v>
      </x:c>
      <x:c r="J60" s="11" t="str">
        <x:v>Romance / New Adult</x:v>
      </x:c>
      <x:c r="K60" s="11" t="str">
        <x:v>Loewe</x:v>
      </x:c>
      <x:c r="L60" s="11" t="str">
        <x:v>2026-04-09</x:v>
      </x:c>
      <x:c r="M60" s="11" t="str">
        <x:v>978-3-7432-2113-0</x:v>
      </x:c>
      <x:c r="N60" s="11" t="str">
        <x:v>Yes</x:v>
      </x:c>
      <x:c r="O60" s="11" t="n">
        <x:v>2</x:v>
      </x:c>
      <x:c r="P60" s="11" t="str">
        <x:v>No</x:v>
      </x:c>
      <x:c r="Q60" s="11" t="str">
        <x:v>Full verified</x:v>
      </x:c>
    </x:row>
    <x:row r="61">
      <x:c r="A61" s="11" t="str">
        <x:v>Crushing Souls (Driven Dreams-Dilogie)</x:v>
      </x:c>
      <x:c r="B61" s="11" t="str">
        <x:v>Carolin Wahl</x:v>
      </x:c>
      <x:c r="C61" s="11" t="n">
        <x:f>COUNTIFS(Rankings_Master!$D$2:$D$788,A61,Rankings_Master!$E$2:$E$788,B61,Rankings_Master!$J$2:$J$788,"Yes")</x:f>
        <x:v>2</x:v>
      </x:c>
      <x:c r="D61" s="11" t="n">
        <x:f>IF(C61=0,"",MINIFS(Rankings_Master!$B$2:$B$788,Rankings_Master!$D$2:$D$788,A61,Rankings_Master!$E$2:$E$788,B61,Rankings_Master!$J$2:$J$788,"Yes"))</x:f>
        <x:v>5</x:v>
      </x:c>
      <x:c r="E61" s="14" t="n">
        <x:f>IF(C61=0,"",SUMIFS(Rankings_Master!$B$2:$B$788,Rankings_Master!$D$2:$D$788,A61,Rankings_Master!$E$2:$E$788,B61,Rankings_Master!$J$2:$J$788,"Yes")/C61)</x:f>
        <x:v>6</x:v>
      </x:c>
      <x:c r="F61" s="11" t="n">
        <x:f>IF(C61=0,"",MINIFS(Rankings_Master!$H$2:$H$788,Rankings_Master!$D$2:$D$788,A61,Rankings_Master!$E$2:$E$788,B61,Rankings_Master!$J$2:$J$788,"Yes"))</x:f>
        <x:v>202507</x:v>
      </x:c>
      <x:c r="G61" s="11" t="n">
        <x:f>IF(C61=0,"",MAXIFS(Rankings_Master!$H$2:$H$788,Rankings_Master!$D$2:$D$788,A61,Rankings_Master!$E$2:$E$788,B61,Rankings_Master!$J$2:$J$788,"Yes"))</x:f>
        <x:v>202508</x:v>
      </x:c>
      <x:c r="H61" s="11" t="str">
        <x:f>IF(C61=0,"Partial only",IF(C61&gt;=2,"Yes","No"))</x:f>
        <x:v>Yes</x:v>
      </x:c>
      <x:c r="I61" s="11" t="n">
        <x:f>IF(C61=0,"",INT(G61/100)-INT(F61/100)+1)</x:f>
        <x:v>1</x:v>
      </x:c>
      <x:c r="J61" s="11" t="str">
        <x:v>Romance / New Adult</x:v>
      </x:c>
      <x:c r="K61" s="11" t="str">
        <x:v>Loewe</x:v>
      </x:c>
      <x:c r="L61" s="11" t="str">
        <x:v>2025-07-17</x:v>
      </x:c>
      <x:c r="M61" s="11" t="str">
        <x:v>978-3-7432-2112-3</x:v>
      </x:c>
      <x:c r="N61" s="11" t="str">
        <x:v>Yes</x:v>
      </x:c>
      <x:c r="O61" s="11" t="n">
        <x:v>1</x:v>
      </x:c>
      <x:c r="P61" s="11" t="str">
        <x:v>No</x:v>
      </x:c>
      <x:c r="Q61" s="11" t="str">
        <x:v>Full verified</x:v>
      </x:c>
    </x:row>
    <x:row r="62">
      <x:c r="A62" s="11" t="str">
        <x:v>Golden Heritage (Crumbling Hearts)</x:v>
      </x:c>
      <x:c r="B62" s="11" t="str">
        <x:v>Carolin Wahl</x:v>
      </x:c>
      <x:c r="C62" s="11" t="n">
        <x:f>COUNTIFS(Rankings_Master!$D$2:$D$788,A62,Rankings_Master!$E$2:$E$788,B62,Rankings_Master!$J$2:$J$788,"Yes")</x:f>
        <x:v>1</x:v>
      </x:c>
      <x:c r="D62" s="11" t="n">
        <x:f>IF(C62=0,"",MINIFS(Rankings_Master!$B$2:$B$788,Rankings_Master!$D$2:$D$788,A62,Rankings_Master!$E$2:$E$788,B62,Rankings_Master!$J$2:$J$788,"Yes"))</x:f>
        <x:v>6</x:v>
      </x:c>
      <x:c r="E62" s="14" t="n">
        <x:f>IF(C62=0,"",SUMIFS(Rankings_Master!$B$2:$B$788,Rankings_Master!$D$2:$D$788,A62,Rankings_Master!$E$2:$E$788,B62,Rankings_Master!$J$2:$J$788,"Yes")/C62)</x:f>
        <x:v>6</x:v>
      </x:c>
      <x:c r="F62" s="11" t="n">
        <x:f>IF(C62=0,"",MINIFS(Rankings_Master!$H$2:$H$788,Rankings_Master!$D$2:$D$788,A62,Rankings_Master!$E$2:$E$788,B62,Rankings_Master!$J$2:$J$788,"Yes"))</x:f>
        <x:v>202404</x:v>
      </x:c>
      <x:c r="G62" s="11" t="n">
        <x:f>IF(C62=0,"",MAXIFS(Rankings_Master!$H$2:$H$788,Rankings_Master!$D$2:$D$788,A62,Rankings_Master!$E$2:$E$788,B62,Rankings_Master!$J$2:$J$788,"Yes"))</x:f>
        <x:v>202404</x:v>
      </x:c>
      <x:c r="H62" s="11" t="str">
        <x:f>IF(C62=0,"Partial only",IF(C62&gt;=2,"Yes","No"))</x:f>
        <x:v>No</x:v>
      </x:c>
      <x:c r="I62" s="11" t="n">
        <x:f>IF(C62=0,"",INT(G62/100)-INT(F62/100)+1)</x:f>
        <x:v>1</x:v>
      </x:c>
      <x:c r="J62" s="11" t="str">
        <x:v>Romance / New Adult</x:v>
      </x:c>
      <x:c r="K62" s="11" t="str">
        <x:v>Loewe</x:v>
      </x:c>
      <x:c r="L62" s="11" t="str">
        <x:v>2024-04-17</x:v>
      </x:c>
      <x:c r="M62" s="11" t="str">
        <x:v>978-3-7432-1572-6</x:v>
      </x:c>
      <x:c r="N62" s="11" t="str">
        <x:v>Yes</x:v>
      </x:c>
      <x:c r="O62" s="11" t="n">
        <x:v>2</x:v>
      </x:c>
      <x:c r="P62" s="11" t="str">
        <x:v>No</x:v>
      </x:c>
      <x:c r="Q62" s="11" t="str">
        <x:v>Full verified</x:v>
      </x:c>
    </x:row>
    <x:row r="63">
      <x:c r="A63" s="11" t="str">
        <x:v>Larsson Legacy</x:v>
      </x:c>
      <x:c r="B63" s="11" t="str">
        <x:v>Carolin Wahl</x:v>
      </x:c>
      <x:c r="C63" s="11" t="n">
        <x:f>COUNTIFS(Rankings_Master!$D$2:$D$788,A63,Rankings_Master!$E$2:$E$788,B63,Rankings_Master!$J$2:$J$788,"Yes")</x:f>
        <x:v>0</x:v>
      </x:c>
      <x:c r="D63" s="11" t="str">
        <x:f>IF(C63=0,"",MINIFS(Rankings_Master!$B$2:$B$788,Rankings_Master!$D$2:$D$788,A63,Rankings_Master!$E$2:$E$788,B63,Rankings_Master!$J$2:$J$788,"Yes"))</x:f>
      </x:c>
      <x:c r="E63" s="14" t="str">
        <x:f>IF(C63=0,"",SUMIFS(Rankings_Master!$B$2:$B$788,Rankings_Master!$D$2:$D$788,A63,Rankings_Master!$E$2:$E$788,B63,Rankings_Master!$J$2:$J$788,"Yes")/C63)</x:f>
      </x:c>
      <x:c r="F63" s="11" t="str">
        <x:f>IF(C63=0,"",MINIFS(Rankings_Master!$H$2:$H$788,Rankings_Master!$D$2:$D$788,A63,Rankings_Master!$E$2:$E$788,B63,Rankings_Master!$J$2:$J$788,"Yes"))</x:f>
      </x:c>
      <x:c r="G63" s="11" t="str">
        <x:f>IF(C63=0,"",MAXIFS(Rankings_Master!$H$2:$H$788,Rankings_Master!$D$2:$D$788,A63,Rankings_Master!$E$2:$E$788,B63,Rankings_Master!$J$2:$J$788,"Yes"))</x:f>
      </x:c>
      <x:c r="H63" s="11" t="str">
        <x:f>IF(C63=0,"Partial only",IF(C63&gt;=2,"Yes","No"))</x:f>
        <x:v>Partial only</x:v>
      </x:c>
      <x:c r="I63" s="11" t="str">
        <x:f>IF(C63=0,"",INT(G63/100)-INT(F63/100)+1)</x:f>
      </x:c>
      <x:c r="J63" s="11" t="str">
        <x:v>Romance / New Adult</x:v>
      </x:c>
      <x:c r="K63" s="11" t="str">
        <x:v>Loewe</x:v>
      </x:c>
      <x:c r="L63" s="11" t="str">
        <x:v>2024-11-13</x:v>
      </x:c>
      <x:c r="M63" s="11" t="str">
        <x:v>978-3-7320-2183-3</x:v>
      </x:c>
      <x:c r="N63" s="11" t="str">
        <x:v>Yes</x:v>
      </x:c>
      <x:c r="O63" s="11" t="n">
        <x:v>3</x:v>
      </x:c>
      <x:c r="P63" s="11" t="str">
        <x:v>No</x:v>
      </x:c>
      <x:c r="Q63" s="11" t="str">
        <x:v>Full verified</x:v>
      </x:c>
    </x:row>
    <x:row r="64">
      <x:c r="A64" s="11" t="str">
        <x:v>Skogen Dynasty (Crumbling Hearts, Band 1)</x:v>
      </x:c>
      <x:c r="B64" s="11" t="str">
        <x:v>Carolin Wahl</x:v>
      </x:c>
      <x:c r="C64" s="11" t="n">
        <x:f>COUNTIFS(Rankings_Master!$D$2:$D$788,A64,Rankings_Master!$E$2:$E$788,B64,Rankings_Master!$J$2:$J$788,"Yes")</x:f>
        <x:v>2</x:v>
      </x:c>
      <x:c r="D64" s="11" t="n">
        <x:f>IF(C64=0,"",MINIFS(Rankings_Master!$B$2:$B$788,Rankings_Master!$D$2:$D$788,A64,Rankings_Master!$E$2:$E$788,B64,Rankings_Master!$J$2:$J$788,"Yes"))</x:f>
        <x:v>9</x:v>
      </x:c>
      <x:c r="E64" s="14" t="n">
        <x:f>IF(C64=0,"",SUMIFS(Rankings_Master!$B$2:$B$788,Rankings_Master!$D$2:$D$788,A64,Rankings_Master!$E$2:$E$788,B64,Rankings_Master!$J$2:$J$788,"Yes")/C64)</x:f>
        <x:v>13.5</x:v>
      </x:c>
      <x:c r="F64" s="11" t="n">
        <x:f>IF(C64=0,"",MINIFS(Rankings_Master!$H$2:$H$788,Rankings_Master!$D$2:$D$788,A64,Rankings_Master!$E$2:$E$788,B64,Rankings_Master!$J$2:$J$788,"Yes"))</x:f>
        <x:v>202309</x:v>
      </x:c>
      <x:c r="G64" s="11" t="n">
        <x:f>IF(C64=0,"",MAXIFS(Rankings_Master!$H$2:$H$788,Rankings_Master!$D$2:$D$788,A64,Rankings_Master!$E$2:$E$788,B64,Rankings_Master!$J$2:$J$788,"Yes"))</x:f>
        <x:v>202310</x:v>
      </x:c>
      <x:c r="H64" s="11" t="str">
        <x:f>IF(C64=0,"Partial only",IF(C64&gt;=2,"Yes","No"))</x:f>
        <x:v>Yes</x:v>
      </x:c>
      <x:c r="I64" s="11" t="n">
        <x:f>IF(C64=0,"",INT(G64/100)-INT(F64/100)+1)</x:f>
        <x:v>1</x:v>
      </x:c>
      <x:c r="J64" s="11" t="str">
        <x:v>Romance / New Adult</x:v>
      </x:c>
      <x:c r="K64" s="11" t="str">
        <x:v>Loewe</x:v>
      </x:c>
      <x:c r="L64" s="11" t="str">
        <x:v>2023-09-13</x:v>
      </x:c>
      <x:c r="M64" s="11" t="str">
        <x:v>978-3-7320-2052-2</x:v>
      </x:c>
      <x:c r="N64" s="11" t="str">
        <x:v>Yes</x:v>
      </x:c>
      <x:c r="O64" s="11" t="n">
        <x:v>1</x:v>
      </x:c>
      <x:c r="P64" s="11" t="str">
        <x:v>No</x:v>
      </x:c>
      <x:c r="Q64" s="11" t="str">
        <x:v>Full verified</x:v>
      </x:c>
    </x:row>
    <x:row r="65">
      <x:c r="A65" s="11" t="str">
        <x:v>22 Bahnen</x:v>
      </x:c>
      <x:c r="B65" s="11" t="str">
        <x:v>Caroline Wahl</x:v>
      </x:c>
      <x:c r="C65" s="11" t="n">
        <x:f>COUNTIFS(Rankings_Master!$D$2:$D$788,A65,Rankings_Master!$E$2:$E$788,B65,Rankings_Master!$J$2:$J$788,"Yes")</x:f>
        <x:v>25</x:v>
      </x:c>
      <x:c r="D65" s="11" t="n">
        <x:f>IF(C65=0,"",MINIFS(Rankings_Master!$B$2:$B$788,Rankings_Master!$D$2:$D$788,A65,Rankings_Master!$E$2:$E$788,B65,Rankings_Master!$J$2:$J$788,"Yes"))</x:f>
        <x:v>1</x:v>
      </x:c>
      <x:c r="E65" s="14" t="n">
        <x:f>IF(C65=0,"",SUMIFS(Rankings_Master!$B$2:$B$788,Rankings_Master!$D$2:$D$788,A65,Rankings_Master!$E$2:$E$788,B65,Rankings_Master!$J$2:$J$788,"Yes")/C65)</x:f>
        <x:v>8.8</x:v>
      </x:c>
      <x:c r="F65" s="11" t="n">
        <x:f>IF(C65=0,"",MINIFS(Rankings_Master!$H$2:$H$788,Rankings_Master!$D$2:$D$788,A65,Rankings_Master!$E$2:$E$788,B65,Rankings_Master!$J$2:$J$788,"Yes"))</x:f>
        <x:v>202306</x:v>
      </x:c>
      <x:c r="G65" s="11" t="n">
        <x:f>IF(C65=0,"",MAXIFS(Rankings_Master!$H$2:$H$788,Rankings_Master!$D$2:$D$788,A65,Rankings_Master!$E$2:$E$788,B65,Rankings_Master!$J$2:$J$788,"Yes"))</x:f>
        <x:v>202607</x:v>
      </x:c>
      <x:c r="H65" s="11" t="str">
        <x:f>IF(C65=0,"Partial only",IF(C65&gt;=2,"Yes","No"))</x:f>
        <x:v>Yes</x:v>
      </x:c>
      <x:c r="I65" s="11" t="n">
        <x:f>IF(C65=0,"",INT(G65/100)-INT(F65/100)+1)</x:f>
        <x:v>4</x:v>
      </x:c>
      <x:c r="J65" s="11" t="str">
        <x:v>Contemporary Fiction</x:v>
      </x:c>
      <x:c r="K65" s="11" t="str">
        <x:v>DuMont Buchverlag</x:v>
      </x:c>
      <x:c r="L65" s="11" t="str">
        <x:v>2023-04-18</x:v>
      </x:c>
      <x:c r="M65" s="11" t="str">
        <x:v>978-3-8321-6803-2</x:v>
      </x:c>
      <x:c r="N65" s="11" t="str">
        <x:v>No</x:v>
      </x:c>
      <x:c r="O65" s="11"/>
      <x:c r="P65" s="11" t="str">
        <x:v>No</x:v>
      </x:c>
      <x:c r="Q65" s="11" t="str">
        <x:v>Full verified</x:v>
      </x:c>
    </x:row>
    <x:row r="66">
      <x:c r="A66" s="11" t="str">
        <x:v>Windstärke 17</x:v>
      </x:c>
      <x:c r="B66" s="11" t="str">
        <x:v>Caroline Wahl</x:v>
      </x:c>
      <x:c r="C66" s="11" t="n">
        <x:f>COUNTIFS(Rankings_Master!$D$2:$D$788,A66,Rankings_Master!$E$2:$E$788,B66,Rankings_Master!$J$2:$J$788,"Yes")</x:f>
        <x:v>11</x:v>
      </x:c>
      <x:c r="D66" s="11" t="n">
        <x:f>IF(C66=0,"",MINIFS(Rankings_Master!$B$2:$B$788,Rankings_Master!$D$2:$D$788,A66,Rankings_Master!$E$2:$E$788,B66,Rankings_Master!$J$2:$J$788,"Yes"))</x:f>
        <x:v>6</x:v>
      </x:c>
      <x:c r="E66" s="14" t="n">
        <x:f>IF(C66=0,"",SUMIFS(Rankings_Master!$B$2:$B$788,Rankings_Master!$D$2:$D$788,A66,Rankings_Master!$E$2:$E$788,B66,Rankings_Master!$J$2:$J$788,"Yes")/C66)</x:f>
        <x:v>11.818181818181818</x:v>
      </x:c>
      <x:c r="F66" s="11" t="n">
        <x:f>IF(C66=0,"",MINIFS(Rankings_Master!$H$2:$H$788,Rankings_Master!$D$2:$D$788,A66,Rankings_Master!$E$2:$E$788,B66,Rankings_Master!$J$2:$J$788,"Yes"))</x:f>
        <x:v>202504</x:v>
      </x:c>
      <x:c r="G66" s="11" t="n">
        <x:f>IF(C66=0,"",MAXIFS(Rankings_Master!$H$2:$H$788,Rankings_Master!$D$2:$D$788,A66,Rankings_Master!$E$2:$E$788,B66,Rankings_Master!$J$2:$J$788,"Yes"))</x:f>
        <x:v>202602</x:v>
      </x:c>
      <x:c r="H66" s="11" t="str">
        <x:f>IF(C66=0,"Partial only",IF(C66&gt;=2,"Yes","No"))</x:f>
        <x:v>Yes</x:v>
      </x:c>
      <x:c r="I66" s="11" t="n">
        <x:f>IF(C66=0,"",INT(G66/100)-INT(F66/100)+1)</x:f>
        <x:v>2</x:v>
      </x:c>
      <x:c r="J66" s="11" t="str">
        <x:v>Contemporary Fiction</x:v>
      </x:c>
      <x:c r="K66" s="11" t="str">
        <x:v>DuMont Buchverlag</x:v>
      </x:c>
      <x:c r="L66" s="11" t="str">
        <x:v>2024</x:v>
      </x:c>
      <x:c r="M66" s="11" t="str">
        <x:v>978-3-8321-6841-4</x:v>
      </x:c>
      <x:c r="N66" s="11" t="str">
        <x:v>No</x:v>
      </x:c>
      <x:c r="O66" s="11"/>
      <x:c r="P66" s="11" t="str">
        <x:v>No</x:v>
      </x:c>
      <x:c r="Q66" s="11" t="str">
        <x:v>Core verified</x:v>
      </x:c>
    </x:row>
    <x:row r="67">
      <x:c r="A67" s="11" t="str">
        <x:v>Boys of Tommen 2: Keeping 13</x:v>
      </x:c>
      <x:c r="B67" s="11" t="str">
        <x:v>Chloe Walsh</x:v>
      </x:c>
      <x:c r="C67" s="11" t="n">
        <x:f>COUNTIFS(Rankings_Master!$D$2:$D$788,A67,Rankings_Master!$E$2:$E$788,B67,Rankings_Master!$J$2:$J$788,"Yes")</x:f>
        <x:v>5</x:v>
      </x:c>
      <x:c r="D67" s="11" t="n">
        <x:f>IF(C67=0,"",MINIFS(Rankings_Master!$B$2:$B$788,Rankings_Master!$D$2:$D$788,A67,Rankings_Master!$E$2:$E$788,B67,Rankings_Master!$J$2:$J$788,"Yes"))</x:f>
        <x:v>7</x:v>
      </x:c>
      <x:c r="E67" s="14" t="n">
        <x:f>IF(C67=0,"",SUMIFS(Rankings_Master!$B$2:$B$788,Rankings_Master!$D$2:$D$788,A67,Rankings_Master!$E$2:$E$788,B67,Rankings_Master!$J$2:$J$788,"Yes")/C67)</x:f>
        <x:v>13.2</x:v>
      </x:c>
      <x:c r="F67" s="11" t="n">
        <x:f>IF(C67=0,"",MINIFS(Rankings_Master!$H$2:$H$788,Rankings_Master!$D$2:$D$788,A67,Rankings_Master!$E$2:$E$788,B67,Rankings_Master!$J$2:$J$788,"Yes"))</x:f>
        <x:v>202407</x:v>
      </x:c>
      <x:c r="G67" s="11" t="n">
        <x:f>IF(C67=0,"",MAXIFS(Rankings_Master!$H$2:$H$788,Rankings_Master!$D$2:$D$788,A67,Rankings_Master!$E$2:$E$788,B67,Rankings_Master!$J$2:$J$788,"Yes"))</x:f>
        <x:v>202501</x:v>
      </x:c>
      <x:c r="H67" s="11" t="str">
        <x:f>IF(C67=0,"Partial only",IF(C67&gt;=2,"Yes","No"))</x:f>
        <x:v>Yes</x:v>
      </x:c>
      <x:c r="I67" s="11" t="n">
        <x:f>IF(C67=0,"",INT(G67/100)-INT(F67/100)+1)</x:f>
        <x:v>2</x:v>
      </x:c>
      <x:c r="J67" s="11" t="str">
        <x:v>Romance / New Adult</x:v>
      </x:c>
      <x:c r="K67" s="11" t="str">
        <x:v>Adrian &amp; Wimmelbuchverlag</x:v>
      </x:c>
      <x:c r="L67" s="11" t="str">
        <x:v>2024-07-18</x:v>
      </x:c>
      <x:c r="M67" s="11" t="str">
        <x:v>978-3-9858520-4-8</x:v>
      </x:c>
      <x:c r="N67" s="11" t="str">
        <x:v>Yes</x:v>
      </x:c>
      <x:c r="O67" s="11" t="n">
        <x:v>2</x:v>
      </x:c>
      <x:c r="P67" s="11" t="str">
        <x:v>No</x:v>
      </x:c>
      <x:c r="Q67" s="11" t="str">
        <x:v>Full verified</x:v>
      </x:c>
    </x:row>
    <x:row r="68">
      <x:c r="A68" s="11" t="str">
        <x:v>Boys of Tommen 3: Saving 6</x:v>
      </x:c>
      <x:c r="B68" s="11" t="str">
        <x:v>Chloe Walsh</x:v>
      </x:c>
      <x:c r="C68" s="11" t="n">
        <x:f>COUNTIFS(Rankings_Master!$D$2:$D$788,A68,Rankings_Master!$E$2:$E$788,B68,Rankings_Master!$J$2:$J$788,"Yes")</x:f>
        <x:v>1</x:v>
      </x:c>
      <x:c r="D68" s="11" t="n">
        <x:f>IF(C68=0,"",MINIFS(Rankings_Master!$B$2:$B$788,Rankings_Master!$D$2:$D$788,A68,Rankings_Master!$E$2:$E$788,B68,Rankings_Master!$J$2:$J$788,"Yes"))</x:f>
        <x:v>5</x:v>
      </x:c>
      <x:c r="E68" s="14" t="n">
        <x:f>IF(C68=0,"",SUMIFS(Rankings_Master!$B$2:$B$788,Rankings_Master!$D$2:$D$788,A68,Rankings_Master!$E$2:$E$788,B68,Rankings_Master!$J$2:$J$788,"Yes")/C68)</x:f>
        <x:v>5</x:v>
      </x:c>
      <x:c r="F68" s="11" t="n">
        <x:f>IF(C68=0,"",MINIFS(Rankings_Master!$H$2:$H$788,Rankings_Master!$D$2:$D$788,A68,Rankings_Master!$E$2:$E$788,B68,Rankings_Master!$J$2:$J$788,"Yes"))</x:f>
        <x:v>202410</x:v>
      </x:c>
      <x:c r="G68" s="11" t="n">
        <x:f>IF(C68=0,"",MAXIFS(Rankings_Master!$H$2:$H$788,Rankings_Master!$D$2:$D$788,A68,Rankings_Master!$E$2:$E$788,B68,Rankings_Master!$J$2:$J$788,"Yes"))</x:f>
        <x:v>202410</x:v>
      </x:c>
      <x:c r="H68" s="11" t="str">
        <x:f>IF(C68=0,"Partial only",IF(C68&gt;=2,"Yes","No"))</x:f>
        <x:v>No</x:v>
      </x:c>
      <x:c r="I68" s="11" t="n">
        <x:f>IF(C68=0,"",INT(G68/100)-INT(F68/100)+1)</x:f>
        <x:v>1</x:v>
      </x:c>
      <x:c r="J68" s="11" t="str">
        <x:v>Romance / New Adult</x:v>
      </x:c>
      <x:c r="K68" s="11" t="str">
        <x:v>Adrian &amp; Wimmelbuchverlag</x:v>
      </x:c>
      <x:c r="L68" s="11" t="str">
        <x:v>2024-10-01</x:v>
      </x:c>
      <x:c r="M68" s="11" t="str">
        <x:v>978-3-9858520-5-5</x:v>
      </x:c>
      <x:c r="N68" s="11" t="str">
        <x:v>Yes</x:v>
      </x:c>
      <x:c r="O68" s="11" t="n">
        <x:v>3</x:v>
      </x:c>
      <x:c r="P68" s="11" t="str">
        <x:v>No</x:v>
      </x:c>
      <x:c r="Q68" s="11" t="str">
        <x:v>Full verified</x:v>
      </x:c>
    </x:row>
    <x:row r="69">
      <x:c r="A69" s="11" t="str">
        <x:v>Boys of Tommen 4: Redeeming 6</x:v>
      </x:c>
      <x:c r="B69" s="11" t="str">
        <x:v>Chloe Walsh</x:v>
      </x:c>
      <x:c r="C69" s="11" t="n">
        <x:f>COUNTIFS(Rankings_Master!$D$2:$D$788,A69,Rankings_Master!$E$2:$E$788,B69,Rankings_Master!$J$2:$J$788,"Yes")</x:f>
        <x:v>2</x:v>
      </x:c>
      <x:c r="D69" s="11" t="n">
        <x:f>IF(C69=0,"",MINIFS(Rankings_Master!$B$2:$B$788,Rankings_Master!$D$2:$D$788,A69,Rankings_Master!$E$2:$E$788,B69,Rankings_Master!$J$2:$J$788,"Yes"))</x:f>
        <x:v>8</x:v>
      </x:c>
      <x:c r="E69" s="14" t="n">
        <x:f>IF(C69=0,"",SUMIFS(Rankings_Master!$B$2:$B$788,Rankings_Master!$D$2:$D$788,A69,Rankings_Master!$E$2:$E$788,B69,Rankings_Master!$J$2:$J$788,"Yes")/C69)</x:f>
        <x:v>10.5</x:v>
      </x:c>
      <x:c r="F69" s="11" t="n">
        <x:f>IF(C69=0,"",MINIFS(Rankings_Master!$H$2:$H$788,Rankings_Master!$D$2:$D$788,A69,Rankings_Master!$E$2:$E$788,B69,Rankings_Master!$J$2:$J$788,"Yes"))</x:f>
        <x:v>202501</x:v>
      </x:c>
      <x:c r="G69" s="11" t="n">
        <x:f>IF(C69=0,"",MAXIFS(Rankings_Master!$H$2:$H$788,Rankings_Master!$D$2:$D$788,A69,Rankings_Master!$E$2:$E$788,B69,Rankings_Master!$J$2:$J$788,"Yes"))</x:f>
        <x:v>202502</x:v>
      </x:c>
      <x:c r="H69" s="11" t="str">
        <x:f>IF(C69=0,"Partial only",IF(C69&gt;=2,"Yes","No"))</x:f>
        <x:v>Yes</x:v>
      </x:c>
      <x:c r="I69" s="11" t="n">
        <x:f>IF(C69=0,"",INT(G69/100)-INT(F69/100)+1)</x:f>
        <x:v>1</x:v>
      </x:c>
      <x:c r="J69" s="11" t="str">
        <x:v>Romance / New Adult</x:v>
      </x:c>
      <x:c r="K69" s="11" t="str">
        <x:v>adrian &amp; wimmelbuchverlag</x:v>
      </x:c>
      <x:c r="L69" s="11" t="str">
        <x:v>2025-01-21</x:v>
      </x:c>
      <x:c r="M69" s="11" t="str">
        <x:v>978-3-98585-206-2</x:v>
      </x:c>
      <x:c r="N69" s="11" t="str">
        <x:v>Yes</x:v>
      </x:c>
      <x:c r="O69" s="11" t="n">
        <x:v>4</x:v>
      </x:c>
      <x:c r="P69" s="11" t="str">
        <x:v>No</x:v>
      </x:c>
      <x:c r="Q69" s="11" t="str">
        <x:v>Full verified</x:v>
      </x:c>
    </x:row>
    <x:row r="70">
      <x:c r="A70" s="11" t="str">
        <x:v>Boys of Tommen 5: Taming 7</x:v>
      </x:c>
      <x:c r="B70" s="11" t="str">
        <x:v>Chloe Walsh</x:v>
      </x:c>
      <x:c r="C70" s="11" t="n">
        <x:f>COUNTIFS(Rankings_Master!$D$2:$D$788,A70,Rankings_Master!$E$2:$E$788,B70,Rankings_Master!$J$2:$J$788,"Yes")</x:f>
        <x:v>1</x:v>
      </x:c>
      <x:c r="D70" s="11" t="n">
        <x:f>IF(C70=0,"",MINIFS(Rankings_Master!$B$2:$B$788,Rankings_Master!$D$2:$D$788,A70,Rankings_Master!$E$2:$E$788,B70,Rankings_Master!$J$2:$J$788,"Yes"))</x:f>
        <x:v>18</x:v>
      </x:c>
      <x:c r="E70" s="14" t="n">
        <x:f>IF(C70=0,"",SUMIFS(Rankings_Master!$B$2:$B$788,Rankings_Master!$D$2:$D$788,A70,Rankings_Master!$E$2:$E$788,B70,Rankings_Master!$J$2:$J$788,"Yes")/C70)</x:f>
        <x:v>18</x:v>
      </x:c>
      <x:c r="F70" s="11" t="n">
        <x:f>IF(C70=0,"",MINIFS(Rankings_Master!$H$2:$H$788,Rankings_Master!$D$2:$D$788,A70,Rankings_Master!$E$2:$E$788,B70,Rankings_Master!$J$2:$J$788,"Yes"))</x:f>
        <x:v>202506</x:v>
      </x:c>
      <x:c r="G70" s="11" t="n">
        <x:f>IF(C70=0,"",MAXIFS(Rankings_Master!$H$2:$H$788,Rankings_Master!$D$2:$D$788,A70,Rankings_Master!$E$2:$E$788,B70,Rankings_Master!$J$2:$J$788,"Yes"))</x:f>
        <x:v>202506</x:v>
      </x:c>
      <x:c r="H70" s="11" t="str">
        <x:f>IF(C70=0,"Partial only",IF(C70&gt;=2,"Yes","No"))</x:f>
        <x:v>No</x:v>
      </x:c>
      <x:c r="I70" s="11" t="n">
        <x:f>IF(C70=0,"",INT(G70/100)-INT(F70/100)+1)</x:f>
        <x:v>1</x:v>
      </x:c>
      <x:c r="J70" s="11" t="str">
        <x:v>Romance / New Adult</x:v>
      </x:c>
      <x:c r="K70" s="11" t="str">
        <x:v>adrian &amp; wimmelbuchverlag</x:v>
      </x:c>
      <x:c r="L70" s="11" t="str">
        <x:v>2025-07-18</x:v>
      </x:c>
      <x:c r="M70" s="11" t="str">
        <x:v>978-3-98585-207-9</x:v>
      </x:c>
      <x:c r="N70" s="11" t="str">
        <x:v>Yes</x:v>
      </x:c>
      <x:c r="O70" s="11" t="n">
        <x:v>5</x:v>
      </x:c>
      <x:c r="P70" s="11" t="str">
        <x:v>No</x:v>
      </x:c>
      <x:c r="Q70" s="11" t="str">
        <x:v>Full verified</x:v>
      </x:c>
    </x:row>
    <x:row r="71">
      <x:c r="A71" s="11" t="str">
        <x:v>Boys of Tommen 6: Releasing 10</x:v>
      </x:c>
      <x:c r="B71" s="11" t="str">
        <x:v>Chloe Walsh</x:v>
      </x:c>
      <x:c r="C71" s="11" t="n">
        <x:f>COUNTIFS(Rankings_Master!$D$2:$D$788,A71,Rankings_Master!$E$2:$E$788,B71,Rankings_Master!$J$2:$J$788,"Yes")</x:f>
        <x:v>1</x:v>
      </x:c>
      <x:c r="D71" s="11" t="n">
        <x:f>IF(C71=0,"",MINIFS(Rankings_Master!$B$2:$B$788,Rankings_Master!$D$2:$D$788,A71,Rankings_Master!$E$2:$E$788,B71,Rankings_Master!$J$2:$J$788,"Yes"))</x:f>
        <x:v>17</x:v>
      </x:c>
      <x:c r="E71" s="14" t="n">
        <x:f>IF(C71=0,"",SUMIFS(Rankings_Master!$B$2:$B$788,Rankings_Master!$D$2:$D$788,A71,Rankings_Master!$E$2:$E$788,B71,Rankings_Master!$J$2:$J$788,"Yes")/C71)</x:f>
        <x:v>17</x:v>
      </x:c>
      <x:c r="F71" s="11" t="n">
        <x:f>IF(C71=0,"",MINIFS(Rankings_Master!$H$2:$H$788,Rankings_Master!$D$2:$D$788,A71,Rankings_Master!$E$2:$E$788,B71,Rankings_Master!$J$2:$J$788,"Yes"))</x:f>
        <x:v>202511</x:v>
      </x:c>
      <x:c r="G71" s="11" t="n">
        <x:f>IF(C71=0,"",MAXIFS(Rankings_Master!$H$2:$H$788,Rankings_Master!$D$2:$D$788,A71,Rankings_Master!$E$2:$E$788,B71,Rankings_Master!$J$2:$J$788,"Yes"))</x:f>
        <x:v>202511</x:v>
      </x:c>
      <x:c r="H71" s="11" t="str">
        <x:f>IF(C71=0,"Partial only",IF(C71&gt;=2,"Yes","No"))</x:f>
        <x:v>No</x:v>
      </x:c>
      <x:c r="I71" s="11" t="n">
        <x:f>IF(C71=0,"",INT(G71/100)-INT(F71/100)+1)</x:f>
        <x:v>1</x:v>
      </x:c>
      <x:c r="J71" s="11" t="str">
        <x:v>Romance / New Adult</x:v>
      </x:c>
      <x:c r="K71" s="11" t="str">
        <x:v>adrian &amp; wimmelbuchverlag</x:v>
      </x:c>
      <x:c r="L71" s="11" t="str">
        <x:v>2025-11-18</x:v>
      </x:c>
      <x:c r="M71" s="11" t="str">
        <x:v>978-3-98585-208-6</x:v>
      </x:c>
      <x:c r="N71" s="11" t="str">
        <x:v>Yes</x:v>
      </x:c>
      <x:c r="O71" s="11" t="n">
        <x:v>6</x:v>
      </x:c>
      <x:c r="P71" s="11" t="str">
        <x:v>No</x:v>
      </x:c>
      <x:c r="Q71" s="11" t="str">
        <x:v>Full verified</x:v>
      </x:c>
    </x:row>
    <x:row r="72">
      <x:c r="A72" s="11" t="str">
        <x:v>The Paradise Problem - Wenn das Herz den perfekten Plan durchkreuzt</x:v>
      </x:c>
      <x:c r="B72" s="11" t="str">
        <x:v>Christina Lauren</x:v>
      </x:c>
      <x:c r="C72" s="11" t="n">
        <x:f>COUNTIFS(Rankings_Master!$D$2:$D$788,A72,Rankings_Master!$E$2:$E$788,B72,Rankings_Master!$J$2:$J$788,"Yes")</x:f>
        <x:v>1</x:v>
      </x:c>
      <x:c r="D72" s="11" t="n">
        <x:f>IF(C72=0,"",MINIFS(Rankings_Master!$B$2:$B$788,Rankings_Master!$D$2:$D$788,A72,Rankings_Master!$E$2:$E$788,B72,Rankings_Master!$J$2:$J$788,"Yes"))</x:f>
        <x:v>14</x:v>
      </x:c>
      <x:c r="E72" s="14" t="n">
        <x:f>IF(C72=0,"",SUMIFS(Rankings_Master!$B$2:$B$788,Rankings_Master!$D$2:$D$788,A72,Rankings_Master!$E$2:$E$788,B72,Rankings_Master!$J$2:$J$788,"Yes")/C72)</x:f>
        <x:v>14</x:v>
      </x:c>
      <x:c r="F72" s="11" t="n">
        <x:f>IF(C72=0,"",MINIFS(Rankings_Master!$H$2:$H$788,Rankings_Master!$D$2:$D$788,A72,Rankings_Master!$E$2:$E$788,B72,Rankings_Master!$J$2:$J$788,"Yes"))</x:f>
        <x:v>202506</x:v>
      </x:c>
      <x:c r="G72" s="11" t="n">
        <x:f>IF(C72=0,"",MAXIFS(Rankings_Master!$H$2:$H$788,Rankings_Master!$D$2:$D$788,A72,Rankings_Master!$E$2:$E$788,B72,Rankings_Master!$J$2:$J$788,"Yes"))</x:f>
        <x:v>202506</x:v>
      </x:c>
      <x:c r="H72" s="11" t="str">
        <x:f>IF(C72=0,"Partial only",IF(C72&gt;=2,"Yes","No"))</x:f>
        <x:v>No</x:v>
      </x:c>
      <x:c r="I72" s="11" t="n">
        <x:f>IF(C72=0,"",INT(G72/100)-INT(F72/100)+1)</x:f>
        <x:v>1</x:v>
      </x:c>
      <x:c r="J72" s="11" t="str">
        <x:v>Romance / Contemporary</x:v>
      </x:c>
      <x:c r="K72" s="11" t="str">
        <x:v>everlove / Piper</x:v>
      </x:c>
      <x:c r="L72" s="11" t="str">
        <x:v>2025-05-30</x:v>
      </x:c>
      <x:c r="M72" s="11" t="str">
        <x:v>978-3-492-06610-5</x:v>
      </x:c>
      <x:c r="N72" s="11" t="str">
        <x:v>No</x:v>
      </x:c>
      <x:c r="O72" s="11"/>
      <x:c r="P72" s="11" t="str">
        <x:v>No</x:v>
      </x:c>
      <x:c r="Q72" s="11" t="str">
        <x:v>Full verified</x:v>
      </x:c>
    </x:row>
    <x:row r="73">
      <x:c r="A73" s="11" t="str">
        <x:v>The Unhoneymooners - Sie können sich nicht ausstehen ...</x:v>
      </x:c>
      <x:c r="B73" s="11" t="str">
        <x:v>Christina Lauren</x:v>
      </x:c>
      <x:c r="C73" s="11" t="n">
        <x:f>COUNTIFS(Rankings_Master!$D$2:$D$788,A73,Rankings_Master!$E$2:$E$788,B73,Rankings_Master!$J$2:$J$788,"Yes")</x:f>
        <x:v>3</x:v>
      </x:c>
      <x:c r="D73" s="11" t="n">
        <x:f>IF(C73=0,"",MINIFS(Rankings_Master!$B$2:$B$788,Rankings_Master!$D$2:$D$788,A73,Rankings_Master!$E$2:$E$788,B73,Rankings_Master!$J$2:$J$788,"Yes"))</x:f>
        <x:v>6</x:v>
      </x:c>
      <x:c r="E73" s="14" t="n">
        <x:f>IF(C73=0,"",SUMIFS(Rankings_Master!$B$2:$B$788,Rankings_Master!$D$2:$D$788,A73,Rankings_Master!$E$2:$E$788,B73,Rankings_Master!$J$2:$J$788,"Yes")/C73)</x:f>
        <x:v>10.666666666666666</x:v>
      </x:c>
      <x:c r="F73" s="11" t="n">
        <x:f>IF(C73=0,"",MINIFS(Rankings_Master!$H$2:$H$788,Rankings_Master!$D$2:$D$788,A73,Rankings_Master!$E$2:$E$788,B73,Rankings_Master!$J$2:$J$788,"Yes"))</x:f>
        <x:v>202306</x:v>
      </x:c>
      <x:c r="G73" s="11" t="n">
        <x:f>IF(C73=0,"",MAXIFS(Rankings_Master!$H$2:$H$788,Rankings_Master!$D$2:$D$788,A73,Rankings_Master!$E$2:$E$788,B73,Rankings_Master!$J$2:$J$788,"Yes"))</x:f>
        <x:v>202308</x:v>
      </x:c>
      <x:c r="H73" s="11" t="str">
        <x:f>IF(C73=0,"Partial only",IF(C73&gt;=2,"Yes","No"))</x:f>
        <x:v>Yes</x:v>
      </x:c>
      <x:c r="I73" s="11" t="n">
        <x:f>IF(C73=0,"",INT(G73/100)-INT(F73/100)+1)</x:f>
        <x:v>1</x:v>
      </x:c>
      <x:c r="J73" s="11" t="str">
        <x:v>Romance / Contemporary</x:v>
      </x:c>
      <x:c r="K73" s="11" t="str">
        <x:v>everlove by Piper</x:v>
      </x:c>
      <x:c r="L73" s="11" t="str">
        <x:v>2023-06-01</x:v>
      </x:c>
      <x:c r="M73" s="11" t="str">
        <x:v>978-3-492-06408-8</x:v>
      </x:c>
      <x:c r="N73" s="11" t="str">
        <x:v>No</x:v>
      </x:c>
      <x:c r="O73" s="11"/>
      <x:c r="P73" s="11" t="str">
        <x:v>No</x:v>
      </x:c>
      <x:c r="Q73" s="11" t="str">
        <x:v>Full verified</x:v>
      </x:c>
    </x:row>
    <x:row r="74">
      <x:c r="A74" s="11" t="str">
        <x:v>Murtagh - Eine dunkle Bedrohung</x:v>
      </x:c>
      <x:c r="B74" s="11" t="str">
        <x:v>Christopher Paolini</x:v>
      </x:c>
      <x:c r="C74" s="11" t="n">
        <x:f>COUNTIFS(Rankings_Master!$D$2:$D$788,A74,Rankings_Master!$E$2:$E$788,B74,Rankings_Master!$J$2:$J$788,"Yes")</x:f>
        <x:v>2</x:v>
      </x:c>
      <x:c r="D74" s="11" t="n">
        <x:f>IF(C74=0,"",MINIFS(Rankings_Master!$B$2:$B$788,Rankings_Master!$D$2:$D$788,A74,Rankings_Master!$E$2:$E$788,B74,Rankings_Master!$J$2:$J$788,"Yes"))</x:f>
        <x:v>2</x:v>
      </x:c>
      <x:c r="E74" s="14" t="n">
        <x:f>IF(C74=0,"",SUMIFS(Rankings_Master!$B$2:$B$788,Rankings_Master!$D$2:$D$788,A74,Rankings_Master!$E$2:$E$788,B74,Rankings_Master!$J$2:$J$788,"Yes")/C74)</x:f>
        <x:v>9.5</x:v>
      </x:c>
      <x:c r="F74" s="11" t="n">
        <x:f>IF(C74=0,"",MINIFS(Rankings_Master!$H$2:$H$788,Rankings_Master!$D$2:$D$788,A74,Rankings_Master!$E$2:$E$788,B74,Rankings_Master!$J$2:$J$788,"Yes"))</x:f>
        <x:v>202312</x:v>
      </x:c>
      <x:c r="G74" s="11" t="n">
        <x:f>IF(C74=0,"",MAXIFS(Rankings_Master!$H$2:$H$788,Rankings_Master!$D$2:$D$788,A74,Rankings_Master!$E$2:$E$788,B74,Rankings_Master!$J$2:$J$788,"Yes"))</x:f>
        <x:v>202401</x:v>
      </x:c>
      <x:c r="H74" s="11" t="str">
        <x:f>IF(C74=0,"Partial only",IF(C74&gt;=2,"Yes","No"))</x:f>
        <x:v>Yes</x:v>
      </x:c>
      <x:c r="I74" s="11" t="n">
        <x:f>IF(C74=0,"",INT(G74/100)-INT(F74/100)+1)</x:f>
        <x:v>2</x:v>
      </x:c>
      <x:c r="J74" s="11" t="str">
        <x:v>Fantasy</x:v>
      </x:c>
      <x:c r="K74" s="11" t="str">
        <x:v>cbj</x:v>
      </x:c>
      <x:c r="L74" s="11" t="str">
        <x:v>2023-11-07</x:v>
      </x:c>
      <x:c r="M74" s="11" t="str">
        <x:v>978-3-570-16710-6</x:v>
      </x:c>
      <x:c r="N74" s="11" t="str">
        <x:v>Yes</x:v>
      </x:c>
      <x:c r="O74" s="11" t="n">
        <x:v>5</x:v>
      </x:c>
      <x:c r="P74" s="11" t="str">
        <x:v>No</x:v>
      </x:c>
      <x:c r="Q74" s="11" t="str">
        <x:v>Full verified</x:v>
      </x:c>
    </x:row>
    <x:row r="75">
      <x:c r="A75" s="11" t="str">
        <x:v>Wehe du gibst auf</x:v>
      </x:c>
      <x:c r="B75" s="11" t="str">
        <x:v>Clara Lösel</x:v>
      </x:c>
      <x:c r="C75" s="11" t="n">
        <x:f>COUNTIFS(Rankings_Master!$D$2:$D$788,A75,Rankings_Master!$E$2:$E$788,B75,Rankings_Master!$J$2:$J$788,"Yes")</x:f>
        <x:v>3</x:v>
      </x:c>
      <x:c r="D75" s="11" t="n">
        <x:f>IF(C75=0,"",MINIFS(Rankings_Master!$B$2:$B$788,Rankings_Master!$D$2:$D$788,A75,Rankings_Master!$E$2:$E$788,B75,Rankings_Master!$J$2:$J$788,"Yes"))</x:f>
        <x:v>1</x:v>
      </x:c>
      <x:c r="E75" s="14" t="n">
        <x:f>IF(C75=0,"",SUMIFS(Rankings_Master!$B$2:$B$788,Rankings_Master!$D$2:$D$788,A75,Rankings_Master!$E$2:$E$788,B75,Rankings_Master!$J$2:$J$788,"Yes")/C75)</x:f>
        <x:v>4.333333333333333</x:v>
      </x:c>
      <x:c r="F75" s="11" t="n">
        <x:f>IF(C75=0,"",MINIFS(Rankings_Master!$H$2:$H$788,Rankings_Master!$D$2:$D$788,A75,Rankings_Master!$E$2:$E$788,B75,Rankings_Master!$J$2:$J$788,"Yes"))</x:f>
        <x:v>202512</x:v>
      </x:c>
      <x:c r="G75" s="11" t="n">
        <x:f>IF(C75=0,"",MAXIFS(Rankings_Master!$H$2:$H$788,Rankings_Master!$D$2:$D$788,A75,Rankings_Master!$E$2:$E$788,B75,Rankings_Master!$J$2:$J$788,"Yes"))</x:f>
        <x:v>202602</x:v>
      </x:c>
      <x:c r="H75" s="11" t="str">
        <x:f>IF(C75=0,"Partial only",IF(C75&gt;=2,"Yes","No"))</x:f>
        <x:v>Yes</x:v>
      </x:c>
      <x:c r="I75" s="11" t="n">
        <x:f>IF(C75=0,"",INT(G75/100)-INT(F75/100)+1)</x:f>
        <x:v>2</x:v>
      </x:c>
      <x:c r="J75" s="11" t="str">
        <x:v>Self-Help / Inspiration</x:v>
      </x:c>
      <x:c r="K75" s="11" t="str">
        <x:v>NOW</x:v>
      </x:c>
      <x:c r="L75" s="11" t="str">
        <x:v>2025-04-08</x:v>
      </x:c>
      <x:c r="M75" s="11" t="str">
        <x:v>978-3-689-69021-2</x:v>
      </x:c>
      <x:c r="N75" s="11" t="str">
        <x:v>No</x:v>
      </x:c>
      <x:c r="O75" s="11"/>
      <x:c r="P75" s="11" t="str">
        <x:v>No</x:v>
      </x:c>
      <x:c r="Q75" s="11" t="str">
        <x:v>Full verified</x:v>
      </x:c>
    </x:row>
    <x:row r="76">
      <x:c r="A76" s="11" t="str">
        <x:v>Glück ist ganz nach meinem Geschmack</x:v>
      </x:c>
      <x:c r="B76" s="11" t="str">
        <x:v>Claudia Schaumann</x:v>
      </x:c>
      <x:c r="C76" s="11" t="n">
        <x:f>COUNTIFS(Rankings_Master!$D$2:$D$788,A76,Rankings_Master!$E$2:$E$788,B76,Rankings_Master!$J$2:$J$788,"Yes")</x:f>
        <x:v>1</x:v>
      </x:c>
      <x:c r="D76" s="11" t="n">
        <x:f>IF(C76=0,"",MINIFS(Rankings_Master!$B$2:$B$788,Rankings_Master!$D$2:$D$788,A76,Rankings_Master!$E$2:$E$788,B76,Rankings_Master!$J$2:$J$788,"Yes"))</x:f>
        <x:v>20</x:v>
      </x:c>
      <x:c r="E76" s="14" t="n">
        <x:f>IF(C76=0,"",SUMIFS(Rankings_Master!$B$2:$B$788,Rankings_Master!$D$2:$D$788,A76,Rankings_Master!$E$2:$E$788,B76,Rankings_Master!$J$2:$J$788,"Yes")/C76)</x:f>
        <x:v>20</x:v>
      </x:c>
      <x:c r="F76" s="11" t="n">
        <x:f>IF(C76=0,"",MINIFS(Rankings_Master!$H$2:$H$788,Rankings_Master!$D$2:$D$788,A76,Rankings_Master!$E$2:$E$788,B76,Rankings_Master!$J$2:$J$788,"Yes"))</x:f>
        <x:v>202507</x:v>
      </x:c>
      <x:c r="G76" s="11" t="n">
        <x:f>IF(C76=0,"",MAXIFS(Rankings_Master!$H$2:$H$788,Rankings_Master!$D$2:$D$788,A76,Rankings_Master!$E$2:$E$788,B76,Rankings_Master!$J$2:$J$788,"Yes"))</x:f>
        <x:v>202507</x:v>
      </x:c>
      <x:c r="H76" s="11" t="str">
        <x:f>IF(C76=0,"Partial only",IF(C76&gt;=2,"Yes","No"))</x:f>
        <x:v>No</x:v>
      </x:c>
      <x:c r="I76" s="11" t="n">
        <x:f>IF(C76=0,"",INT(G76/100)-INT(F76/100)+1)</x:f>
        <x:v>1</x:v>
      </x:c>
      <x:c r="J76" s="11" t="str">
        <x:v>Contemporary Fiction</x:v>
      </x:c>
      <x:c r="K76" s="11" t="str">
        <x:v>Goldmann</x:v>
      </x:c>
      <x:c r="L76" s="11" t="str">
        <x:v>2025</x:v>
      </x:c>
      <x:c r="M76" s="11" t="str">
        <x:v>978-3-442-49599-3</x:v>
      </x:c>
      <x:c r="N76" s="11" t="str">
        <x:v>No</x:v>
      </x:c>
      <x:c r="O76" s="11"/>
      <x:c r="P76" s="11" t="str">
        <x:v>No</x:v>
      </x:c>
      <x:c r="Q76" s="11" t="str">
        <x:v>Core verified</x:v>
      </x:c>
    </x:row>
    <x:row r="77">
      <x:c r="A77" s="11" t="str">
        <x:v>It starts with us - Nur noch einmal und für immer</x:v>
      </x:c>
      <x:c r="B77" s="11" t="str">
        <x:v>Colleen Hoover</x:v>
      </x:c>
      <x:c r="C77" s="11" t="n">
        <x:f>COUNTIFS(Rankings_Master!$D$2:$D$788,A77,Rankings_Master!$E$2:$E$788,B77,Rankings_Master!$J$2:$J$788,"Yes")</x:f>
        <x:v>14</x:v>
      </x:c>
      <x:c r="D77" s="11" t="n">
        <x:f>IF(C77=0,"",MINIFS(Rankings_Master!$B$2:$B$788,Rankings_Master!$D$2:$D$788,A77,Rankings_Master!$E$2:$E$788,B77,Rankings_Master!$J$2:$J$788,"Yes"))</x:f>
        <x:v>1</x:v>
      </x:c>
      <x:c r="E77" s="14" t="n">
        <x:f>IF(C77=0,"",SUMIFS(Rankings_Master!$B$2:$B$788,Rankings_Master!$D$2:$D$788,A77,Rankings_Master!$E$2:$E$788,B77,Rankings_Master!$J$2:$J$788,"Yes")/C77)</x:f>
        <x:v>9</x:v>
      </x:c>
      <x:c r="F77" s="11" t="n">
        <x:f>IF(C77=0,"",MINIFS(Rankings_Master!$H$2:$H$788,Rankings_Master!$D$2:$D$788,A77,Rankings_Master!$E$2:$E$788,B77,Rankings_Master!$J$2:$J$788,"Yes"))</x:f>
        <x:v>202304</x:v>
      </x:c>
      <x:c r="G77" s="11" t="n">
        <x:f>IF(C77=0,"",MAXIFS(Rankings_Master!$H$2:$H$788,Rankings_Master!$D$2:$D$788,A77,Rankings_Master!$E$2:$E$788,B77,Rankings_Master!$J$2:$J$788,"Yes"))</x:f>
        <x:v>202410</x:v>
      </x:c>
      <x:c r="H77" s="11" t="str">
        <x:f>IF(C77=0,"Partial only",IF(C77&gt;=2,"Yes","No"))</x:f>
        <x:v>Yes</x:v>
      </x:c>
      <x:c r="I77" s="11" t="n">
        <x:f>IF(C77=0,"",INT(G77/100)-INT(F77/100)+1)</x:f>
        <x:v>2</x:v>
      </x:c>
      <x:c r="J77" s="11" t="str">
        <x:v>Romance / Contemporary</x:v>
      </x:c>
      <x:c r="K77" s="11" t="str">
        <x:v>dtv</x:v>
      </x:c>
      <x:c r="L77" s="11" t="str">
        <x:v>2022-10-18</x:v>
      </x:c>
      <x:c r="M77" s="11" t="str">
        <x:v>978-3-423-28311-3</x:v>
      </x:c>
      <x:c r="N77" s="11" t="str">
        <x:v>Yes</x:v>
      </x:c>
      <x:c r="O77" s="11" t="n">
        <x:v>2</x:v>
      </x:c>
      <x:c r="P77" s="11"/>
      <x:c r="Q77" s="11" t="str">
        <x:v>Full verified</x:v>
      </x:c>
    </x:row>
    <x:row r="78">
      <x:c r="A78" s="11" t="str">
        <x:v>Nur noch ein einziges Mal</x:v>
      </x:c>
      <x:c r="B78" s="11" t="str">
        <x:v>Colleen Hoover</x:v>
      </x:c>
      <x:c r="C78" s="11" t="n">
        <x:f>COUNTIFS(Rankings_Master!$D$2:$D$788,A78,Rankings_Master!$E$2:$E$788,B78,Rankings_Master!$J$2:$J$788,"Yes")</x:f>
        <x:v>21</x:v>
      </x:c>
      <x:c r="D78" s="11" t="n">
        <x:f>IF(C78=0,"",MINIFS(Rankings_Master!$B$2:$B$788,Rankings_Master!$D$2:$D$788,A78,Rankings_Master!$E$2:$E$788,B78,Rankings_Master!$J$2:$J$788,"Yes"))</x:f>
        <x:v>1</x:v>
      </x:c>
      <x:c r="E78" s="14" t="n">
        <x:f>IF(C78=0,"",SUMIFS(Rankings_Master!$B$2:$B$788,Rankings_Master!$D$2:$D$788,A78,Rankings_Master!$E$2:$E$788,B78,Rankings_Master!$J$2:$J$788,"Yes")/C78)</x:f>
        <x:v>6.9523809523809526</x:v>
      </x:c>
      <x:c r="F78" s="11" t="n">
        <x:f>IF(C78=0,"",MINIFS(Rankings_Master!$H$2:$H$788,Rankings_Master!$D$2:$D$788,A78,Rankings_Master!$E$2:$E$788,B78,Rankings_Master!$J$2:$J$788,"Yes"))</x:f>
        <x:v>202304</x:v>
      </x:c>
      <x:c r="G78" s="11" t="n">
        <x:f>IF(C78=0,"",MAXIFS(Rankings_Master!$H$2:$H$788,Rankings_Master!$D$2:$D$788,A78,Rankings_Master!$E$2:$E$788,B78,Rankings_Master!$J$2:$J$788,"Yes"))</x:f>
        <x:v>202502</x:v>
      </x:c>
      <x:c r="H78" s="11" t="str">
        <x:f>IF(C78=0,"Partial only",IF(C78&gt;=2,"Yes","No"))</x:f>
        <x:v>Yes</x:v>
      </x:c>
      <x:c r="I78" s="11" t="n">
        <x:f>IF(C78=0,"",INT(G78/100)-INT(F78/100)+1)</x:f>
        <x:v>3</x:v>
      </x:c>
      <x:c r="J78" s="11" t="str">
        <x:v>Romance / Contemporary</x:v>
      </x:c>
      <x:c r="K78" s="11" t="str">
        <x:v>dtv</x:v>
      </x:c>
      <x:c r="L78" s="11" t="str">
        <x:v>2020-11-13</x:v>
      </x:c>
      <x:c r="M78" s="11" t="str">
        <x:v>978-3-423-71862-2</x:v>
      </x:c>
      <x:c r="N78" s="11" t="str">
        <x:v>Yes</x:v>
      </x:c>
      <x:c r="O78" s="11" t="n">
        <x:v>1</x:v>
      </x:c>
      <x:c r="P78" s="11"/>
      <x:c r="Q78" s="11" t="str">
        <x:v>Full verified</x:v>
      </x:c>
    </x:row>
    <x:row r="79">
      <x:c r="A79" s="11" t="str">
        <x:v>Nur noch wenige Tage</x:v>
      </x:c>
      <x:c r="B79" s="11" t="str">
        <x:v>Colleen Hoover</x:v>
      </x:c>
      <x:c r="C79" s="11" t="n">
        <x:f>COUNTIFS(Rankings_Master!$D$2:$D$788,A79,Rankings_Master!$E$2:$E$788,B79,Rankings_Master!$J$2:$J$788,"Yes")</x:f>
        <x:v>1</x:v>
      </x:c>
      <x:c r="D79" s="11" t="n">
        <x:f>IF(C79=0,"",MINIFS(Rankings_Master!$B$2:$B$788,Rankings_Master!$D$2:$D$788,A79,Rankings_Master!$E$2:$E$788,B79,Rankings_Master!$J$2:$J$788,"Yes"))</x:f>
        <x:v>6</x:v>
      </x:c>
      <x:c r="E79" s="14" t="n">
        <x:f>IF(C79=0,"",SUMIFS(Rankings_Master!$B$2:$B$788,Rankings_Master!$D$2:$D$788,A79,Rankings_Master!$E$2:$E$788,B79,Rankings_Master!$J$2:$J$788,"Yes")/C79)</x:f>
        <x:v>6</x:v>
      </x:c>
      <x:c r="F79" s="11" t="n">
        <x:f>IF(C79=0,"",MINIFS(Rankings_Master!$H$2:$H$788,Rankings_Master!$D$2:$D$788,A79,Rankings_Master!$E$2:$E$788,B79,Rankings_Master!$J$2:$J$788,"Yes"))</x:f>
        <x:v>202410</x:v>
      </x:c>
      <x:c r="G79" s="11" t="n">
        <x:f>IF(C79=0,"",MAXIFS(Rankings_Master!$H$2:$H$788,Rankings_Master!$D$2:$D$788,A79,Rankings_Master!$E$2:$E$788,B79,Rankings_Master!$J$2:$J$788,"Yes"))</x:f>
        <x:v>202410</x:v>
      </x:c>
      <x:c r="H79" s="11" t="str">
        <x:f>IF(C79=0,"Partial only",IF(C79&gt;=2,"Yes","No"))</x:f>
        <x:v>No</x:v>
      </x:c>
      <x:c r="I79" s="11" t="n">
        <x:f>IF(C79=0,"",INT(G79/100)-INT(F79/100)+1)</x:f>
        <x:v>1</x:v>
      </x:c>
      <x:c r="J79" s="11" t="str">
        <x:v>Romance / Contemporary</x:v>
      </x:c>
      <x:c r="K79" s="11" t="str">
        <x:v>dtv</x:v>
      </x:c>
      <x:c r="L79" s="11" t="str">
        <x:v>2024-10-17</x:v>
      </x:c>
      <x:c r="M79" s="11" t="str">
        <x:v>978-3-423-43985-5</x:v>
      </x:c>
      <x:c r="N79" s="11" t="str">
        <x:v>No</x:v>
      </x:c>
      <x:c r="O79" s="11"/>
      <x:c r="P79" s="11" t="str">
        <x:v>No</x:v>
      </x:c>
      <x:c r="Q79" s="11" t="str">
        <x:v>Full verified</x:v>
      </x:c>
    </x:row>
    <x:row r="80">
      <x:c r="A80" s="11" t="str">
        <x:v>Reminders of Him - Für immer ein Teil von dir</x:v>
      </x:c>
      <x:c r="B80" s="11" t="str">
        <x:v>Colleen Hoover</x:v>
      </x:c>
      <x:c r="C80" s="11" t="n">
        <x:f>COUNTIFS(Rankings_Master!$D$2:$D$788,A80,Rankings_Master!$E$2:$E$788,B80,Rankings_Master!$J$2:$J$788,"Yes")</x:f>
        <x:v>3</x:v>
      </x:c>
      <x:c r="D80" s="11" t="n">
        <x:f>IF(C80=0,"",MINIFS(Rankings_Master!$B$2:$B$788,Rankings_Master!$D$2:$D$788,A80,Rankings_Master!$E$2:$E$788,B80,Rankings_Master!$J$2:$J$788,"Yes"))</x:f>
        <x:v>1</x:v>
      </x:c>
      <x:c r="E80" s="14" t="n">
        <x:f>IF(C80=0,"",SUMIFS(Rankings_Master!$B$2:$B$788,Rankings_Master!$D$2:$D$788,A80,Rankings_Master!$E$2:$E$788,B80,Rankings_Master!$J$2:$J$788,"Yes")/C80)</x:f>
        <x:v>1.3333333333333333</x:v>
      </x:c>
      <x:c r="F80" s="11" t="n">
        <x:f>IF(C80=0,"",MINIFS(Rankings_Master!$H$2:$H$788,Rankings_Master!$D$2:$D$788,A80,Rankings_Master!$E$2:$E$788,B80,Rankings_Master!$J$2:$J$788,"Yes"))</x:f>
        <x:v>202602</x:v>
      </x:c>
      <x:c r="G80" s="11" t="n">
        <x:f>IF(C80=0,"",MAXIFS(Rankings_Master!$H$2:$H$788,Rankings_Master!$D$2:$D$788,A80,Rankings_Master!$E$2:$E$788,B80,Rankings_Master!$J$2:$J$788,"Yes"))</x:f>
        <x:v>202604</x:v>
      </x:c>
      <x:c r="H80" s="11" t="str">
        <x:f>IF(C80=0,"Partial only",IF(C80&gt;=2,"Yes","No"))</x:f>
        <x:v>Yes</x:v>
      </x:c>
      <x:c r="I80" s="11" t="n">
        <x:f>IF(C80=0,"",INT(G80/100)-INT(F80/100)+1)</x:f>
        <x:v>1</x:v>
      </x:c>
      <x:c r="J80" s="11" t="str">
        <x:v>Romance / Contemporary</x:v>
      </x:c>
      <x:c r="K80" s="11" t="str">
        <x:v>dtv</x:v>
      </x:c>
      <x:c r="L80" s="11" t="str">
        <x:v>2026-01-29</x:v>
      </x:c>
      <x:c r="M80" s="11" t="str">
        <x:v>978-3-423-22169-6</x:v>
      </x:c>
      <x:c r="N80" s="11" t="str">
        <x:v>No</x:v>
      </x:c>
      <x:c r="O80" s="11"/>
      <x:c r="P80" s="11" t="str">
        <x:v>No</x:v>
      </x:c>
      <x:c r="Q80" s="11" t="str">
        <x:v>Full verified</x:v>
      </x:c>
    </x:row>
    <x:row r="81">
      <x:c r="A81" s="11" t="str">
        <x:v>Verity</x:v>
      </x:c>
      <x:c r="B81" s="11" t="str">
        <x:v>Colleen Hoover</x:v>
      </x:c>
      <x:c r="C81" s="11" t="n">
        <x:f>COUNTIFS(Rankings_Master!$D$2:$D$788,A81,Rankings_Master!$E$2:$E$788,B81,Rankings_Master!$J$2:$J$788,"Yes")</x:f>
        <x:v>21</x:v>
      </x:c>
      <x:c r="D81" s="11" t="n">
        <x:f>IF(C81=0,"",MINIFS(Rankings_Master!$B$2:$B$788,Rankings_Master!$D$2:$D$788,A81,Rankings_Master!$E$2:$E$788,B81,Rankings_Master!$J$2:$J$788,"Yes"))</x:f>
        <x:v>3</x:v>
      </x:c>
      <x:c r="E81" s="14" t="n">
        <x:f>IF(C81=0,"",SUMIFS(Rankings_Master!$B$2:$B$788,Rankings_Master!$D$2:$D$788,A81,Rankings_Master!$E$2:$E$788,B81,Rankings_Master!$J$2:$J$788,"Yes")/C81)</x:f>
        <x:v>8.80952380952381</x:v>
      </x:c>
      <x:c r="F81" s="11" t="n">
        <x:f>IF(C81=0,"",MINIFS(Rankings_Master!$H$2:$H$788,Rankings_Master!$D$2:$D$788,A81,Rankings_Master!$E$2:$E$788,B81,Rankings_Master!$J$2:$J$788,"Yes"))</x:f>
        <x:v>202304</x:v>
      </x:c>
      <x:c r="G81" s="11" t="n">
        <x:f>IF(C81=0,"",MAXIFS(Rankings_Master!$H$2:$H$788,Rankings_Master!$D$2:$D$788,A81,Rankings_Master!$E$2:$E$788,B81,Rankings_Master!$J$2:$J$788,"Yes"))</x:f>
        <x:v>202503</x:v>
      </x:c>
      <x:c r="H81" s="11" t="str">
        <x:f>IF(C81=0,"Partial only",IF(C81&gt;=2,"Yes","No"))</x:f>
        <x:v>Yes</x:v>
      </x:c>
      <x:c r="I81" s="11" t="n">
        <x:f>IF(C81=0,"",INT(G81/100)-INT(F81/100)+1)</x:f>
        <x:v>3</x:v>
      </x:c>
      <x:c r="J81" s="11" t="str">
        <x:v>Thriller / Suspense</x:v>
      </x:c>
      <x:c r="K81" s="11" t="str">
        <x:v>dtv</x:v>
      </x:c>
      <x:c r="L81" s="11" t="str">
        <x:v>2020</x:v>
      </x:c>
      <x:c r="M81" s="11" t="str">
        <x:v>978-3-423-23012-4</x:v>
      </x:c>
      <x:c r="N81" s="11" t="str">
        <x:v>No</x:v>
      </x:c>
      <x:c r="O81" s="11"/>
      <x:c r="P81" s="11" t="str">
        <x:v>No</x:v>
      </x:c>
      <x:c r="Q81" s="11" t="str">
        <x:v>Full verified</x:v>
      </x:c>
    </x:row>
    <x:row r="82">
      <x:c r="A82" s="11" t="str">
        <x:v>Woman Down</x:v>
      </x:c>
      <x:c r="B82" s="11" t="str">
        <x:v>Colleen Hoover</x:v>
      </x:c>
      <x:c r="C82" s="11" t="n">
        <x:f>COUNTIFS(Rankings_Master!$D$2:$D$788,A82,Rankings_Master!$E$2:$E$788,B82,Rankings_Master!$J$2:$J$788,"Yes")</x:f>
        <x:v>2</x:v>
      </x:c>
      <x:c r="D82" s="11" t="n">
        <x:f>IF(C82=0,"",MINIFS(Rankings_Master!$B$2:$B$788,Rankings_Master!$D$2:$D$788,A82,Rankings_Master!$E$2:$E$788,B82,Rankings_Master!$J$2:$J$788,"Yes"))</x:f>
        <x:v>12</x:v>
      </x:c>
      <x:c r="E82" s="14" t="n">
        <x:f>IF(C82=0,"",SUMIFS(Rankings_Master!$B$2:$B$788,Rankings_Master!$D$2:$D$788,A82,Rankings_Master!$E$2:$E$788,B82,Rankings_Master!$J$2:$J$788,"Yes")/C82)</x:f>
        <x:v>14</x:v>
      </x:c>
      <x:c r="F82" s="11" t="n">
        <x:f>IF(C82=0,"",MINIFS(Rankings_Master!$H$2:$H$788,Rankings_Master!$D$2:$D$788,A82,Rankings_Master!$E$2:$E$788,B82,Rankings_Master!$J$2:$J$788,"Yes"))</x:f>
        <x:v>202601</x:v>
      </x:c>
      <x:c r="G82" s="11" t="n">
        <x:f>IF(C82=0,"",MAXIFS(Rankings_Master!$H$2:$H$788,Rankings_Master!$D$2:$D$788,A82,Rankings_Master!$E$2:$E$788,B82,Rankings_Master!$J$2:$J$788,"Yes"))</x:f>
        <x:v>202602</x:v>
      </x:c>
      <x:c r="H82" s="11" t="str">
        <x:f>IF(C82=0,"Partial only",IF(C82&gt;=2,"Yes","No"))</x:f>
        <x:v>Yes</x:v>
      </x:c>
      <x:c r="I82" s="11" t="n">
        <x:f>IF(C82=0,"",INT(G82/100)-INT(F82/100)+1)</x:f>
        <x:v>1</x:v>
      </x:c>
      <x:c r="J82" s="11" t="str">
        <x:v>Thriller / Romance</x:v>
      </x:c>
      <x:c r="K82" s="11" t="str">
        <x:v>dtv</x:v>
      </x:c>
      <x:c r="L82" s="11" t="str">
        <x:v>2026-01-13</x:v>
      </x:c>
      <x:c r="M82" s="11" t="str">
        <x:v>978-3-423-28549-0</x:v>
      </x:c>
      <x:c r="N82" s="11" t="str">
        <x:v>No</x:v>
      </x:c>
      <x:c r="O82" s="11"/>
      <x:c r="P82" s="11" t="str">
        <x:v>No</x:v>
      </x:c>
      <x:c r="Q82" s="11" t="str">
        <x:v>Full verified</x:v>
      </x:c>
    </x:row>
    <x:row r="83">
      <x:c r="A83" s="11" t="str">
        <x:v>Zurück ins Leben geliebt</x:v>
      </x:c>
      <x:c r="B83" s="11" t="str">
        <x:v>Colleen Hoover</x:v>
      </x:c>
      <x:c r="C83" s="11" t="n">
        <x:f>COUNTIFS(Rankings_Master!$D$2:$D$788,A83,Rankings_Master!$E$2:$E$788,B83,Rankings_Master!$J$2:$J$788,"Yes")</x:f>
        <x:v>1</x:v>
      </x:c>
      <x:c r="D83" s="11" t="n">
        <x:f>IF(C83=0,"",MINIFS(Rankings_Master!$B$2:$B$788,Rankings_Master!$D$2:$D$788,A83,Rankings_Master!$E$2:$E$788,B83,Rankings_Master!$J$2:$J$788,"Yes"))</x:f>
        <x:v>19</x:v>
      </x:c>
      <x:c r="E83" s="14" t="n">
        <x:f>IF(C83=0,"",SUMIFS(Rankings_Master!$B$2:$B$788,Rankings_Master!$D$2:$D$788,A83,Rankings_Master!$E$2:$E$788,B83,Rankings_Master!$J$2:$J$788,"Yes")/C83)</x:f>
        <x:v>19</x:v>
      </x:c>
      <x:c r="F83" s="11" t="n">
        <x:f>IF(C83=0,"",MINIFS(Rankings_Master!$H$2:$H$788,Rankings_Master!$D$2:$D$788,A83,Rankings_Master!$E$2:$E$788,B83,Rankings_Master!$J$2:$J$788,"Yes"))</x:f>
        <x:v>202304</x:v>
      </x:c>
      <x:c r="G83" s="11" t="n">
        <x:f>IF(C83=0,"",MAXIFS(Rankings_Master!$H$2:$H$788,Rankings_Master!$D$2:$D$788,A83,Rankings_Master!$E$2:$E$788,B83,Rankings_Master!$J$2:$J$788,"Yes"))</x:f>
        <x:v>202304</x:v>
      </x:c>
      <x:c r="H83" s="11" t="str">
        <x:f>IF(C83=0,"Partial only",IF(C83&gt;=2,"Yes","No"))</x:f>
        <x:v>No</x:v>
      </x:c>
      <x:c r="I83" s="11" t="n">
        <x:f>IF(C83=0,"",INT(G83/100)-INT(F83/100)+1)</x:f>
        <x:v>1</x:v>
      </x:c>
      <x:c r="J83" s="11" t="str">
        <x:v>Romance / Contemporary</x:v>
      </x:c>
      <x:c r="K83" s="11" t="str">
        <x:v>dtv</x:v>
      </x:c>
      <x:c r="L83" s="11" t="str">
        <x:v>2022-02-16</x:v>
      </x:c>
      <x:c r="M83" s="11" t="str">
        <x:v>978-3-423-21997-6</x:v>
      </x:c>
      <x:c r="N83" s="11" t="str">
        <x:v>No</x:v>
      </x:c>
      <x:c r="O83" s="11"/>
      <x:c r="P83" s="11" t="str">
        <x:v>No</x:v>
      </x:c>
      <x:c r="Q83" s="11" t="str">
        <x:v>Full verified</x:v>
      </x:c>
    </x:row>
    <x:row r="84">
      <x:c r="A84" s="11" t="str">
        <x:v>Tintenwelt 4. Die Farbe der Rache</x:v>
      </x:c>
      <x:c r="B84" s="11" t="str">
        <x:v>Cornelia Funke</x:v>
      </x:c>
      <x:c r="C84" s="11" t="n">
        <x:f>COUNTIFS(Rankings_Master!$D$2:$D$788,A84,Rankings_Master!$E$2:$E$788,B84,Rankings_Master!$J$2:$J$788,"Yes")</x:f>
        <x:v>3</x:v>
      </x:c>
      <x:c r="D84" s="11" t="n">
        <x:f>IF(C84=0,"",MINIFS(Rankings_Master!$B$2:$B$788,Rankings_Master!$D$2:$D$788,A84,Rankings_Master!$E$2:$E$788,B84,Rankings_Master!$J$2:$J$788,"Yes"))</x:f>
        <x:v>1</x:v>
      </x:c>
      <x:c r="E84" s="14" t="n">
        <x:f>IF(C84=0,"",SUMIFS(Rankings_Master!$B$2:$B$788,Rankings_Master!$D$2:$D$788,A84,Rankings_Master!$E$2:$E$788,B84,Rankings_Master!$J$2:$J$788,"Yes")/C84)</x:f>
        <x:v>1.3333333333333333</x:v>
      </x:c>
      <x:c r="F84" s="11" t="n">
        <x:f>IF(C84=0,"",MINIFS(Rankings_Master!$H$2:$H$788,Rankings_Master!$D$2:$D$788,A84,Rankings_Master!$E$2:$E$788,B84,Rankings_Master!$J$2:$J$788,"Yes"))</x:f>
        <x:v>202310</x:v>
      </x:c>
      <x:c r="G84" s="11" t="n">
        <x:f>IF(C84=0,"",MAXIFS(Rankings_Master!$H$2:$H$788,Rankings_Master!$D$2:$D$788,A84,Rankings_Master!$E$2:$E$788,B84,Rankings_Master!$J$2:$J$788,"Yes"))</x:f>
        <x:v>202312</x:v>
      </x:c>
      <x:c r="H84" s="11" t="str">
        <x:f>IF(C84=0,"Partial only",IF(C84&gt;=2,"Yes","No"))</x:f>
        <x:v>Yes</x:v>
      </x:c>
      <x:c r="I84" s="11" t="n">
        <x:f>IF(C84=0,"",INT(G84/100)-INT(F84/100)+1)</x:f>
        <x:v>1</x:v>
      </x:c>
      <x:c r="J84" s="11" t="str">
        <x:v>Fantasy / YA</x:v>
      </x:c>
      <x:c r="K84" s="11" t="str">
        <x:v>Dressler Verlag</x:v>
      </x:c>
      <x:c r="L84" s="11" t="str">
        <x:v>2023-10-12</x:v>
      </x:c>
      <x:c r="M84" s="11" t="str">
        <x:v>978-3-7513-0007-0</x:v>
      </x:c>
      <x:c r="N84" s="11" t="str">
        <x:v>Yes</x:v>
      </x:c>
      <x:c r="O84" s="11" t="n">
        <x:v>4</x:v>
      </x:c>
      <x:c r="P84" s="11" t="str">
        <x:v>No</x:v>
      </x:c>
      <x:c r="Q84" s="11" t="str">
        <x:v>Full verified</x:v>
      </x:c>
    </x:row>
    <x:row r="85">
      <x:c r="A85" s="11" t="str">
        <x:v>Silver Elite</x:v>
      </x:c>
      <x:c r="B85" s="11" t="str">
        <x:v>Dani Francis</x:v>
      </x:c>
      <x:c r="C85" s="11" t="n">
        <x:f>COUNTIFS(Rankings_Master!$D$2:$D$788,A85,Rankings_Master!$E$2:$E$788,B85,Rankings_Master!$J$2:$J$788,"Yes")</x:f>
        <x:v>1</x:v>
      </x:c>
      <x:c r="D85" s="11" t="n">
        <x:f>IF(C85=0,"",MINIFS(Rankings_Master!$B$2:$B$788,Rankings_Master!$D$2:$D$788,A85,Rankings_Master!$E$2:$E$788,B85,Rankings_Master!$J$2:$J$788,"Yes"))</x:f>
        <x:v>8</x:v>
      </x:c>
      <x:c r="E85" s="14" t="n">
        <x:f>IF(C85=0,"",SUMIFS(Rankings_Master!$B$2:$B$788,Rankings_Master!$D$2:$D$788,A85,Rankings_Master!$E$2:$E$788,B85,Rankings_Master!$J$2:$J$788,"Yes")/C85)</x:f>
        <x:v>8</x:v>
      </x:c>
      <x:c r="F85" s="11" t="n">
        <x:f>IF(C85=0,"",MINIFS(Rankings_Master!$H$2:$H$788,Rankings_Master!$D$2:$D$788,A85,Rankings_Master!$E$2:$E$788,B85,Rankings_Master!$J$2:$J$788,"Yes"))</x:f>
        <x:v>202509</x:v>
      </x:c>
      <x:c r="G85" s="11" t="n">
        <x:f>IF(C85=0,"",MAXIFS(Rankings_Master!$H$2:$H$788,Rankings_Master!$D$2:$D$788,A85,Rankings_Master!$E$2:$E$788,B85,Rankings_Master!$J$2:$J$788,"Yes"))</x:f>
        <x:v>202509</x:v>
      </x:c>
      <x:c r="H85" s="11" t="str">
        <x:f>IF(C85=0,"Partial only",IF(C85&gt;=2,"Yes","No"))</x:f>
        <x:v>No</x:v>
      </x:c>
      <x:c r="I85" s="11" t="n">
        <x:f>IF(C85=0,"",INT(G85/100)-INT(F85/100)+1)</x:f>
        <x:v>1</x:v>
      </x:c>
      <x:c r="J85" s="11" t="str">
        <x:v>Fantasy / Dystopian Romance</x:v>
      </x:c>
      <x:c r="K85" s="11" t="str">
        <x:v>LYX / Bastei Lübbe</x:v>
      </x:c>
      <x:c r="L85" s="11" t="str">
        <x:v>2025-09-16</x:v>
      </x:c>
      <x:c r="M85" s="11" t="str">
        <x:v>978-3-7363-2369-8</x:v>
      </x:c>
      <x:c r="N85" s="11" t="str">
        <x:v>Yes</x:v>
      </x:c>
      <x:c r="O85" s="11" t="n">
        <x:v>1</x:v>
      </x:c>
      <x:c r="P85" s="11" t="str">
        <x:v>No</x:v>
      </x:c>
      <x:c r="Q85" s="11" t="str">
        <x:v>Full verified</x:v>
      </x:c>
    </x:row>
    <x:row r="86">
      <x:c r="A86" s="11" t="str">
        <x:v>Die Meerglas-Schwestern</x:v>
      </x:c>
      <x:c r="B86" s="11" t="str">
        <x:v>Eleanor Buchanan</x:v>
      </x:c>
      <x:c r="C86" s="11" t="n">
        <x:f>COUNTIFS(Rankings_Master!$D$2:$D$788,A86,Rankings_Master!$E$2:$E$788,B86,Rankings_Master!$J$2:$J$788,"Yes")</x:f>
        <x:v>1</x:v>
      </x:c>
      <x:c r="D86" s="11" t="n">
        <x:f>IF(C86=0,"",MINIFS(Rankings_Master!$B$2:$B$788,Rankings_Master!$D$2:$D$788,A86,Rankings_Master!$E$2:$E$788,B86,Rankings_Master!$J$2:$J$788,"Yes"))</x:f>
        <x:v>20</x:v>
      </x:c>
      <x:c r="E86" s="14" t="n">
        <x:f>IF(C86=0,"",SUMIFS(Rankings_Master!$B$2:$B$788,Rankings_Master!$D$2:$D$788,A86,Rankings_Master!$E$2:$E$788,B86,Rankings_Master!$J$2:$J$788,"Yes")/C86)</x:f>
        <x:v>20</x:v>
      </x:c>
      <x:c r="F86" s="11" t="n">
        <x:f>IF(C86=0,"",MINIFS(Rankings_Master!$H$2:$H$788,Rankings_Master!$D$2:$D$788,A86,Rankings_Master!$E$2:$E$788,B86,Rankings_Master!$J$2:$J$788,"Yes"))</x:f>
        <x:v>202606</x:v>
      </x:c>
      <x:c r="G86" s="11" t="n">
        <x:f>IF(C86=0,"",MAXIFS(Rankings_Master!$H$2:$H$788,Rankings_Master!$D$2:$D$788,A86,Rankings_Master!$E$2:$E$788,B86,Rankings_Master!$J$2:$J$788,"Yes"))</x:f>
        <x:v>202606</x:v>
      </x:c>
      <x:c r="H86" s="11" t="str">
        <x:f>IF(C86=0,"Partial only",IF(C86&gt;=2,"Yes","No"))</x:f>
        <x:v>No</x:v>
      </x:c>
      <x:c r="I86" s="11" t="n">
        <x:f>IF(C86=0,"",INT(G86/100)-INT(F86/100)+1)</x:f>
        <x:v>1</x:v>
      </x:c>
      <x:c r="J86" s="11" t="str">
        <x:v>Historical / Contemporary Fiction</x:v>
      </x:c>
      <x:c r="K86" s="11" t="str">
        <x:v>Blanvalet</x:v>
      </x:c>
      <x:c r="L86" s="11" t="str">
        <x:v>2026-05-27</x:v>
      </x:c>
      <x:c r="M86" s="11" t="str">
        <x:v>978-3-7341-1554-7</x:v>
      </x:c>
      <x:c r="N86" s="11" t="str">
        <x:v>Yes</x:v>
      </x:c>
      <x:c r="O86" s="11" t="n">
        <x:v>1</x:v>
      </x:c>
      <x:c r="P86" s="11" t="str">
        <x:v>No</x:v>
      </x:c>
      <x:c r="Q86" s="11" t="str">
        <x:v>Full verified</x:v>
      </x:c>
    </x:row>
    <x:row r="87">
      <x:c r="A87" s="11" t="str">
        <x:v>Das Versprechen eines Sommertags</x:v>
      </x:c>
      <x:c r="B87" s="11" t="str">
        <x:v>Elena Sonnberg</x:v>
      </x:c>
      <x:c r="C87" s="11" t="n">
        <x:f>COUNTIFS(Rankings_Master!$D$2:$D$788,A87,Rankings_Master!$E$2:$E$788,B87,Rankings_Master!$J$2:$J$788,"Yes")</x:f>
        <x:v>1</x:v>
      </x:c>
      <x:c r="D87" s="11" t="n">
        <x:f>IF(C87=0,"",MINIFS(Rankings_Master!$B$2:$B$788,Rankings_Master!$D$2:$D$788,A87,Rankings_Master!$E$2:$E$788,B87,Rankings_Master!$J$2:$J$788,"Yes"))</x:f>
        <x:v>20</x:v>
      </x:c>
      <x:c r="E87" s="14" t="n">
        <x:f>IF(C87=0,"",SUMIFS(Rankings_Master!$B$2:$B$788,Rankings_Master!$D$2:$D$788,A87,Rankings_Master!$E$2:$E$788,B87,Rankings_Master!$J$2:$J$788,"Yes")/C87)</x:f>
        <x:v>20</x:v>
      </x:c>
      <x:c r="F87" s="11" t="n">
        <x:f>IF(C87=0,"",MINIFS(Rankings_Master!$H$2:$H$788,Rankings_Master!$D$2:$D$788,A87,Rankings_Master!$E$2:$E$788,B87,Rankings_Master!$J$2:$J$788,"Yes"))</x:f>
        <x:v>202506</x:v>
      </x:c>
      <x:c r="G87" s="11" t="n">
        <x:f>IF(C87=0,"",MAXIFS(Rankings_Master!$H$2:$H$788,Rankings_Master!$D$2:$D$788,A87,Rankings_Master!$E$2:$E$788,B87,Rankings_Master!$J$2:$J$788,"Yes"))</x:f>
        <x:v>202506</x:v>
      </x:c>
      <x:c r="H87" s="11" t="str">
        <x:f>IF(C87=0,"Partial only",IF(C87&gt;=2,"Yes","No"))</x:f>
        <x:v>No</x:v>
      </x:c>
      <x:c r="I87" s="11" t="n">
        <x:f>IF(C87=0,"",INT(G87/100)-INT(F87/100)+1)</x:f>
        <x:v>1</x:v>
      </x:c>
      <x:c r="J87" s="11" t="str">
        <x:v>Romance / Contemporary</x:v>
      </x:c>
      <x:c r="K87" s="11" t="str">
        <x:v>Goldmann</x:v>
      </x:c>
      <x:c r="L87" s="11" t="str">
        <x:v>2025-05-21</x:v>
      </x:c>
      <x:c r="M87" s="11" t="str">
        <x:v>978-3-442-49561-0</x:v>
      </x:c>
      <x:c r="N87" s="11" t="str">
        <x:v>No</x:v>
      </x:c>
      <x:c r="O87" s="11"/>
      <x:c r="P87" s="11" t="str">
        <x:v>No</x:v>
      </x:c>
      <x:c r="Q87" s="11" t="str">
        <x:v>Full verified</x:v>
      </x:c>
    </x:row>
    <x:row r="88">
      <x:c r="A88" s="11" t="str">
        <x:v>Arcana Academy 1: Arcana Academy</x:v>
      </x:c>
      <x:c r="B88" s="11" t="str">
        <x:v>Elise Kova</x:v>
      </x:c>
      <x:c r="C88" s="11" t="n">
        <x:f>COUNTIFS(Rankings_Master!$D$2:$D$788,A88,Rankings_Master!$E$2:$E$788,B88,Rankings_Master!$J$2:$J$788,"Yes")</x:f>
        <x:v>1</x:v>
      </x:c>
      <x:c r="D88" s="11" t="n">
        <x:f>IF(C88=0,"",MINIFS(Rankings_Master!$B$2:$B$788,Rankings_Master!$D$2:$D$788,A88,Rankings_Master!$E$2:$E$788,B88,Rankings_Master!$J$2:$J$788,"Yes"))</x:f>
        <x:v>20</x:v>
      </x:c>
      <x:c r="E88" s="14" t="n">
        <x:f>IF(C88=0,"",SUMIFS(Rankings_Master!$B$2:$B$788,Rankings_Master!$D$2:$D$788,A88,Rankings_Master!$E$2:$E$788,B88,Rankings_Master!$J$2:$J$788,"Yes")/C88)</x:f>
        <x:v>20</x:v>
      </x:c>
      <x:c r="F88" s="11" t="n">
        <x:f>IF(C88=0,"",MINIFS(Rankings_Master!$H$2:$H$788,Rankings_Master!$D$2:$D$788,A88,Rankings_Master!$E$2:$E$788,B88,Rankings_Master!$J$2:$J$788,"Yes"))</x:f>
        <x:v>202510</x:v>
      </x:c>
      <x:c r="G88" s="11" t="n">
        <x:f>IF(C88=0,"",MAXIFS(Rankings_Master!$H$2:$H$788,Rankings_Master!$D$2:$D$788,A88,Rankings_Master!$E$2:$E$788,B88,Rankings_Master!$J$2:$J$788,"Yes"))</x:f>
        <x:v>202510</x:v>
      </x:c>
      <x:c r="H88" s="11" t="str">
        <x:f>IF(C88=0,"Partial only",IF(C88&gt;=2,"Yes","No"))</x:f>
        <x:v>No</x:v>
      </x:c>
      <x:c r="I88" s="11" t="n">
        <x:f>IF(C88=0,"",INT(G88/100)-INT(F88/100)+1)</x:f>
        <x:v>1</x:v>
      </x:c>
      <x:c r="J88" s="11" t="str">
        <x:v>Fantasy / Romantasy</x:v>
      </x:c>
      <x:c r="K88" s="11" t="str">
        <x:v>Carlsen</x:v>
      </x:c>
      <x:c r="L88" s="11" t="str">
        <x:v>2025-10-13</x:v>
      </x:c>
      <x:c r="M88" s="11" t="str">
        <x:v>978-3-551-55944-9</x:v>
      </x:c>
      <x:c r="N88" s="11" t="str">
        <x:v>Yes</x:v>
      </x:c>
      <x:c r="O88" s="11" t="n">
        <x:v>1</x:v>
      </x:c>
      <x:c r="P88" s="11" t="str">
        <x:v>No</x:v>
      </x:c>
      <x:c r="Q88" s="11" t="str">
        <x:v>Full verified</x:v>
      </x:c>
    </x:row>
    <x:row r="89">
      <x:c r="A89" s="11" t="str">
        <x:v>Married into Magic: Dance with the Fae Prince</x:v>
      </x:c>
      <x:c r="B89" s="11" t="str">
        <x:v>Elise Kova</x:v>
      </x:c>
      <x:c r="C89" s="11" t="n">
        <x:f>COUNTIFS(Rankings_Master!$D$2:$D$788,A89,Rankings_Master!$E$2:$E$788,B89,Rankings_Master!$J$2:$J$788,"Yes")</x:f>
        <x:v>1</x:v>
      </x:c>
      <x:c r="D89" s="11" t="n">
        <x:f>IF(C89=0,"",MINIFS(Rankings_Master!$B$2:$B$788,Rankings_Master!$D$2:$D$788,A89,Rankings_Master!$E$2:$E$788,B89,Rankings_Master!$J$2:$J$788,"Yes"))</x:f>
        <x:v>13</x:v>
      </x:c>
      <x:c r="E89" s="14" t="n">
        <x:f>IF(C89=0,"",SUMIFS(Rankings_Master!$B$2:$B$788,Rankings_Master!$D$2:$D$788,A89,Rankings_Master!$E$2:$E$788,B89,Rankings_Master!$J$2:$J$788,"Yes")/C89)</x:f>
        <x:v>13</x:v>
      </x:c>
      <x:c r="F89" s="11" t="n">
        <x:f>IF(C89=0,"",MINIFS(Rankings_Master!$H$2:$H$788,Rankings_Master!$D$2:$D$788,A89,Rankings_Master!$E$2:$E$788,B89,Rankings_Master!$J$2:$J$788,"Yes"))</x:f>
        <x:v>202505</x:v>
      </x:c>
      <x:c r="G89" s="11" t="n">
        <x:f>IF(C89=0,"",MAXIFS(Rankings_Master!$H$2:$H$788,Rankings_Master!$D$2:$D$788,A89,Rankings_Master!$E$2:$E$788,B89,Rankings_Master!$J$2:$J$788,"Yes"))</x:f>
        <x:v>202505</x:v>
      </x:c>
      <x:c r="H89" s="11" t="str">
        <x:f>IF(C89=0,"Partial only",IF(C89&gt;=2,"Yes","No"))</x:f>
        <x:v>No</x:v>
      </x:c>
      <x:c r="I89" s="11" t="n">
        <x:f>IF(C89=0,"",INT(G89/100)-INT(F89/100)+1)</x:f>
        <x:v>1</x:v>
      </x:c>
      <x:c r="J89" s="11" t="str">
        <x:v>Fantasy / Romantasy</x:v>
      </x:c>
      <x:c r="K89" s="11" t="str">
        <x:v>Carlsen</x:v>
      </x:c>
      <x:c r="L89" s="11" t="str">
        <x:v>2025-05-02</x:v>
      </x:c>
      <x:c r="M89" s="11" t="str">
        <x:v>978-3-551-58581-3</x:v>
      </x:c>
      <x:c r="N89" s="11" t="str">
        <x:v>Yes</x:v>
      </x:c>
      <x:c r="O89" s="11" t="n">
        <x:v>2</x:v>
      </x:c>
      <x:c r="P89" s="11" t="str">
        <x:v>No</x:v>
      </x:c>
      <x:c r="Q89" s="11" t="str">
        <x:v>Full verified</x:v>
      </x:c>
    </x:row>
    <x:row r="90">
      <x:c r="A90" s="11" t="str">
        <x:v>Married into Magic: Deal with the Elf King</x:v>
      </x:c>
      <x:c r="B90" s="11" t="str">
        <x:v>Elise Kova</x:v>
      </x:c>
      <x:c r="C90" s="11" t="n">
        <x:f>COUNTIFS(Rankings_Master!$D$2:$D$788,A90,Rankings_Master!$E$2:$E$788,B90,Rankings_Master!$J$2:$J$788,"Yes")</x:f>
        <x:v>1</x:v>
      </x:c>
      <x:c r="D90" s="11" t="n">
        <x:f>IF(C90=0,"",MINIFS(Rankings_Master!$B$2:$B$788,Rankings_Master!$D$2:$D$788,A90,Rankings_Master!$E$2:$E$788,B90,Rankings_Master!$J$2:$J$788,"Yes"))</x:f>
        <x:v>7</x:v>
      </x:c>
      <x:c r="E90" s="14" t="n">
        <x:f>IF(C90=0,"",SUMIFS(Rankings_Master!$B$2:$B$788,Rankings_Master!$D$2:$D$788,A90,Rankings_Master!$E$2:$E$788,B90,Rankings_Master!$J$2:$J$788,"Yes")/C90)</x:f>
        <x:v>7</x:v>
      </x:c>
      <x:c r="F90" s="11" t="n">
        <x:f>IF(C90=0,"",MINIFS(Rankings_Master!$H$2:$H$788,Rankings_Master!$D$2:$D$788,A90,Rankings_Master!$E$2:$E$788,B90,Rankings_Master!$J$2:$J$788,"Yes"))</x:f>
        <x:v>202501</x:v>
      </x:c>
      <x:c r="G90" s="11" t="n">
        <x:f>IF(C90=0,"",MAXIFS(Rankings_Master!$H$2:$H$788,Rankings_Master!$D$2:$D$788,A90,Rankings_Master!$E$2:$E$788,B90,Rankings_Master!$J$2:$J$788,"Yes"))</x:f>
        <x:v>202501</x:v>
      </x:c>
      <x:c r="H90" s="11" t="str">
        <x:f>IF(C90=0,"Partial only",IF(C90&gt;=2,"Yes","No"))</x:f>
        <x:v>No</x:v>
      </x:c>
      <x:c r="I90" s="11" t="n">
        <x:f>IF(C90=0,"",INT(G90/100)-INT(F90/100)+1)</x:f>
        <x:v>1</x:v>
      </x:c>
      <x:c r="J90" s="11" t="str">
        <x:v>Fantasy / Romantasy</x:v>
      </x:c>
      <x:c r="K90" s="11" t="str">
        <x:v>Carlsen</x:v>
      </x:c>
      <x:c r="L90" s="11" t="str">
        <x:v>2025-01-09</x:v>
      </x:c>
      <x:c r="M90" s="11" t="str">
        <x:v>978-3-551-58483-0</x:v>
      </x:c>
      <x:c r="N90" s="11" t="str">
        <x:v>Yes</x:v>
      </x:c>
      <x:c r="O90" s="11" t="n">
        <x:v>1</x:v>
      </x:c>
      <x:c r="P90" s="11" t="str">
        <x:v>No</x:v>
      </x:c>
      <x:c r="Q90" s="11" t="str">
        <x:v>Full verified</x:v>
      </x:c>
    </x:row>
    <x:row r="91">
      <x:c r="A91" s="11" t="str">
        <x:v>The Chase - Gegensätze ziehen sich an</x:v>
      </x:c>
      <x:c r="B91" s="11" t="str">
        <x:v>Elle Kennedy</x:v>
      </x:c>
      <x:c r="C91" s="11" t="n">
        <x:f>COUNTIFS(Rankings_Master!$D$2:$D$788,A91,Rankings_Master!$E$2:$E$788,B91,Rankings_Master!$J$2:$J$788,"Yes")</x:f>
        <x:v>1</x:v>
      </x:c>
      <x:c r="D91" s="11" t="n">
        <x:f>IF(C91=0,"",MINIFS(Rankings_Master!$B$2:$B$788,Rankings_Master!$D$2:$D$788,A91,Rankings_Master!$E$2:$E$788,B91,Rankings_Master!$J$2:$J$788,"Yes"))</x:f>
        <x:v>20</x:v>
      </x:c>
      <x:c r="E91" s="14" t="n">
        <x:f>IF(C91=0,"",SUMIFS(Rankings_Master!$B$2:$B$788,Rankings_Master!$D$2:$D$788,A91,Rankings_Master!$E$2:$E$788,B91,Rankings_Master!$J$2:$J$788,"Yes")/C91)</x:f>
        <x:v>20</x:v>
      </x:c>
      <x:c r="F91" s="11" t="n">
        <x:f>IF(C91=0,"",MINIFS(Rankings_Master!$H$2:$H$788,Rankings_Master!$D$2:$D$788,A91,Rankings_Master!$E$2:$E$788,B91,Rankings_Master!$J$2:$J$788,"Yes"))</x:f>
        <x:v>202410</x:v>
      </x:c>
      <x:c r="G91" s="11" t="n">
        <x:f>IF(C91=0,"",MAXIFS(Rankings_Master!$H$2:$H$788,Rankings_Master!$D$2:$D$788,A91,Rankings_Master!$E$2:$E$788,B91,Rankings_Master!$J$2:$J$788,"Yes"))</x:f>
        <x:v>202410</x:v>
      </x:c>
      <x:c r="H91" s="11" t="str">
        <x:f>IF(C91=0,"Partial only",IF(C91&gt;=2,"Yes","No"))</x:f>
        <x:v>No</x:v>
      </x:c>
      <x:c r="I91" s="11" t="n">
        <x:f>IF(C91=0,"",INT(G91/100)-INT(F91/100)+1)</x:f>
        <x:v>1</x:v>
      </x:c>
      <x:c r="J91" s="11" t="str">
        <x:v>Romance / New Adult</x:v>
      </x:c>
      <x:c r="K91" s="11" t="str">
        <x:v>everlove / Piper</x:v>
      </x:c>
      <x:c r="L91" s="11" t="str">
        <x:v>2024-10-25</x:v>
      </x:c>
      <x:c r="M91" s="11" t="str">
        <x:v>978-3-492-06721-8</x:v>
      </x:c>
      <x:c r="N91" s="11" t="str">
        <x:v>Yes</x:v>
      </x:c>
      <x:c r="O91" s="11" t="n">
        <x:v>1</x:v>
      </x:c>
      <x:c r="P91" s="11" t="str">
        <x:v>No</x:v>
      </x:c>
      <x:c r="Q91" s="11" t="str">
        <x:v>Full verified</x:v>
      </x:c>
    </x:row>
    <x:row r="92">
      <x:c r="A92" s="11" t="str">
        <x:v>The Deal - Reine Verhandlungssache</x:v>
      </x:c>
      <x:c r="B92" s="11" t="str">
        <x:v>Elle Kennedy</x:v>
      </x:c>
      <x:c r="C92" s="11" t="n">
        <x:f>COUNTIFS(Rankings_Master!$D$2:$D$788,A92,Rankings_Master!$E$2:$E$788,B92,Rankings_Master!$J$2:$J$788,"Yes")</x:f>
        <x:v>3</x:v>
      </x:c>
      <x:c r="D92" s="11" t="n">
        <x:f>IF(C92=0,"",MINIFS(Rankings_Master!$B$2:$B$788,Rankings_Master!$D$2:$D$788,A92,Rankings_Master!$E$2:$E$788,B92,Rankings_Master!$J$2:$J$788,"Yes"))</x:f>
        <x:v>1</x:v>
      </x:c>
      <x:c r="E92" s="14" t="n">
        <x:f>IF(C92=0,"",SUMIFS(Rankings_Master!$B$2:$B$788,Rankings_Master!$D$2:$D$788,A92,Rankings_Master!$E$2:$E$788,B92,Rankings_Master!$J$2:$J$788,"Yes")/C92)</x:f>
        <x:v>7.333333333333333</x:v>
      </x:c>
      <x:c r="F92" s="11" t="n">
        <x:f>IF(C92=0,"",MINIFS(Rankings_Master!$H$2:$H$788,Rankings_Master!$D$2:$D$788,A92,Rankings_Master!$E$2:$E$788,B92,Rankings_Master!$J$2:$J$788,"Yes"))</x:f>
        <x:v>202605</x:v>
      </x:c>
      <x:c r="G92" s="11" t="n">
        <x:f>IF(C92=0,"",MAXIFS(Rankings_Master!$H$2:$H$788,Rankings_Master!$D$2:$D$788,A92,Rankings_Master!$E$2:$E$788,B92,Rankings_Master!$J$2:$J$788,"Yes"))</x:f>
        <x:v>202607</x:v>
      </x:c>
      <x:c r="H92" s="11" t="str">
        <x:f>IF(C92=0,"Partial only",IF(C92&gt;=2,"Yes","No"))</x:f>
        <x:v>Yes</x:v>
      </x:c>
      <x:c r="I92" s="11" t="n">
        <x:f>IF(C92=0,"",INT(G92/100)-INT(F92/100)+1)</x:f>
        <x:v>1</x:v>
      </x:c>
      <x:c r="J92" s="11" t="str">
        <x:v>Sports Romance / New Adult</x:v>
      </x:c>
      <x:c r="K92" s="11" t="str">
        <x:v>everlove / Piper</x:v>
      </x:c>
      <x:c r="L92" s="11" t="str">
        <x:v>2026-04-30</x:v>
      </x:c>
      <x:c r="M92" s="11" t="str">
        <x:v>978-3-492-07531-2</x:v>
      </x:c>
      <x:c r="N92" s="11" t="str">
        <x:v>Yes</x:v>
      </x:c>
      <x:c r="O92" s="11" t="n">
        <x:v>1</x:v>
      </x:c>
      <x:c r="P92" s="11" t="str">
        <x:v>No</x:v>
      </x:c>
      <x:c r="Q92" s="11" t="str">
        <x:v>Full verified</x:v>
      </x:c>
    </x:row>
    <x:row r="93">
      <x:c r="A93" s="11" t="str">
        <x:v>The Mistake - Niemand ist perfekt</x:v>
      </x:c>
      <x:c r="B93" s="11" t="str">
        <x:v>Elle Kennedy</x:v>
      </x:c>
      <x:c r="C93" s="11" t="n">
        <x:f>COUNTIFS(Rankings_Master!$D$2:$D$788,A93,Rankings_Master!$E$2:$E$788,B93,Rankings_Master!$J$2:$J$788,"Yes")</x:f>
        <x:v>3</x:v>
      </x:c>
      <x:c r="D93" s="11" t="n">
        <x:f>IF(C93=0,"",MINIFS(Rankings_Master!$B$2:$B$788,Rankings_Master!$D$2:$D$788,A93,Rankings_Master!$E$2:$E$788,B93,Rankings_Master!$J$2:$J$788,"Yes"))</x:f>
        <x:v>12</x:v>
      </x:c>
      <x:c r="E93" s="14" t="n">
        <x:f>IF(C93=0,"",SUMIFS(Rankings_Master!$B$2:$B$788,Rankings_Master!$D$2:$D$788,A93,Rankings_Master!$E$2:$E$788,B93,Rankings_Master!$J$2:$J$788,"Yes")/C93)</x:f>
        <x:v>14</x:v>
      </x:c>
      <x:c r="F93" s="11" t="n">
        <x:f>IF(C93=0,"",MINIFS(Rankings_Master!$H$2:$H$788,Rankings_Master!$D$2:$D$788,A93,Rankings_Master!$E$2:$E$788,B93,Rankings_Master!$J$2:$J$788,"Yes"))</x:f>
        <x:v>202605</x:v>
      </x:c>
      <x:c r="G93" s="11" t="n">
        <x:f>IF(C93=0,"",MAXIFS(Rankings_Master!$H$2:$H$788,Rankings_Master!$D$2:$D$788,A93,Rankings_Master!$E$2:$E$788,B93,Rankings_Master!$J$2:$J$788,"Yes"))</x:f>
        <x:v>202607</x:v>
      </x:c>
      <x:c r="H93" s="11" t="str">
        <x:f>IF(C93=0,"Partial only",IF(C93&gt;=2,"Yes","No"))</x:f>
        <x:v>Yes</x:v>
      </x:c>
      <x:c r="I93" s="11" t="n">
        <x:f>IF(C93=0,"",INT(G93/100)-INT(F93/100)+1)</x:f>
        <x:v>1</x:v>
      </x:c>
      <x:c r="J93" s="11" t="str">
        <x:v>Sports Romance / New Adult</x:v>
      </x:c>
      <x:c r="K93" s="11" t="str">
        <x:v>everlove / Piper</x:v>
      </x:c>
      <x:c r="L93" s="11" t="str">
        <x:v>2026-04-30</x:v>
      </x:c>
      <x:c r="M93" s="11" t="str">
        <x:v>978-3-492-07532-9</x:v>
      </x:c>
      <x:c r="N93" s="11" t="str">
        <x:v>Yes</x:v>
      </x:c>
      <x:c r="O93" s="11" t="n">
        <x:v>2</x:v>
      </x:c>
      <x:c r="P93" s="11" t="str">
        <x:v>No</x:v>
      </x:c>
      <x:c r="Q93" s="11" t="str">
        <x:v>Full verified</x:v>
      </x:c>
    </x:row>
    <x:row r="94">
      <x:c r="A94" s="11" t="str">
        <x:v>The Score - Mitten ins Herz</x:v>
      </x:c>
      <x:c r="B94" s="11" t="str">
        <x:v>Elle Kennedy</x:v>
      </x:c>
      <x:c r="C94" s="11" t="n">
        <x:f>COUNTIFS(Rankings_Master!$D$2:$D$788,A94,Rankings_Master!$E$2:$E$788,B94,Rankings_Master!$J$2:$J$788,"Yes")</x:f>
        <x:v>3</x:v>
      </x:c>
      <x:c r="D94" s="11" t="n">
        <x:f>IF(C94=0,"",MINIFS(Rankings_Master!$B$2:$B$788,Rankings_Master!$D$2:$D$788,A94,Rankings_Master!$E$2:$E$788,B94,Rankings_Master!$J$2:$J$788,"Yes"))</x:f>
        <x:v>2</x:v>
      </x:c>
      <x:c r="E94" s="14" t="n">
        <x:f>IF(C94=0,"",SUMIFS(Rankings_Master!$B$2:$B$788,Rankings_Master!$D$2:$D$788,A94,Rankings_Master!$E$2:$E$788,B94,Rankings_Master!$J$2:$J$788,"Yes")/C94)</x:f>
        <x:v>12.666666666666666</x:v>
      </x:c>
      <x:c r="F94" s="11" t="n">
        <x:f>IF(C94=0,"",MINIFS(Rankings_Master!$H$2:$H$788,Rankings_Master!$D$2:$D$788,A94,Rankings_Master!$E$2:$E$788,B94,Rankings_Master!$J$2:$J$788,"Yes"))</x:f>
        <x:v>202605</x:v>
      </x:c>
      <x:c r="G94" s="11" t="n">
        <x:f>IF(C94=0,"",MAXIFS(Rankings_Master!$H$2:$H$788,Rankings_Master!$D$2:$D$788,A94,Rankings_Master!$E$2:$E$788,B94,Rankings_Master!$J$2:$J$788,"Yes"))</x:f>
        <x:v>202607</x:v>
      </x:c>
      <x:c r="H94" s="11" t="str">
        <x:f>IF(C94=0,"Partial only",IF(C94&gt;=2,"Yes","No"))</x:f>
        <x:v>Yes</x:v>
      </x:c>
      <x:c r="I94" s="11" t="n">
        <x:f>IF(C94=0,"",INT(G94/100)-INT(F94/100)+1)</x:f>
        <x:v>1</x:v>
      </x:c>
      <x:c r="J94" s="11" t="str">
        <x:v>Sports Romance / New Adult</x:v>
      </x:c>
      <x:c r="K94" s="11" t="str">
        <x:v>everlove / Piper</x:v>
      </x:c>
      <x:c r="L94" s="11" t="str">
        <x:v>2026-04-30</x:v>
      </x:c>
      <x:c r="M94" s="11" t="str">
        <x:v>978-3-492-07533-6</x:v>
      </x:c>
      <x:c r="N94" s="11" t="str">
        <x:v>Yes</x:v>
      </x:c>
      <x:c r="O94" s="11" t="n">
        <x:v>3</x:v>
      </x:c>
      <x:c r="P94" s="11" t="str">
        <x:v>No</x:v>
      </x:c>
      <x:c r="Q94" s="11" t="str">
        <x:v>Full verified</x:v>
      </x:c>
    </x:row>
    <x:row r="95">
      <x:c r="A95" s="11" t="str">
        <x:v>Fearless</x:v>
      </x:c>
      <x:c r="B95" s="11" t="str">
        <x:v>Elsie Silver</x:v>
      </x:c>
      <x:c r="C95" s="11" t="n">
        <x:f>COUNTIFS(Rankings_Master!$D$2:$D$788,A95,Rankings_Master!$E$2:$E$788,B95,Rankings_Master!$J$2:$J$788,"Yes")</x:f>
        <x:v>1</x:v>
      </x:c>
      <x:c r="D95" s="11" t="n">
        <x:f>IF(C95=0,"",MINIFS(Rankings_Master!$B$2:$B$788,Rankings_Master!$D$2:$D$788,A95,Rankings_Master!$E$2:$E$788,B95,Rankings_Master!$J$2:$J$788,"Yes"))</x:f>
        <x:v>15</x:v>
      </x:c>
      <x:c r="E95" s="14" t="n">
        <x:f>IF(C95=0,"",SUMIFS(Rankings_Master!$B$2:$B$788,Rankings_Master!$D$2:$D$788,A95,Rankings_Master!$E$2:$E$788,B95,Rankings_Master!$J$2:$J$788,"Yes")/C95)</x:f>
        <x:v>15</x:v>
      </x:c>
      <x:c r="F95" s="11" t="n">
        <x:f>IF(C95=0,"",MINIFS(Rankings_Master!$H$2:$H$788,Rankings_Master!$D$2:$D$788,A95,Rankings_Master!$E$2:$E$788,B95,Rankings_Master!$J$2:$J$788,"Yes"))</x:f>
        <x:v>202502</x:v>
      </x:c>
      <x:c r="G95" s="11" t="n">
        <x:f>IF(C95=0,"",MAXIFS(Rankings_Master!$H$2:$H$788,Rankings_Master!$D$2:$D$788,A95,Rankings_Master!$E$2:$E$788,B95,Rankings_Master!$J$2:$J$788,"Yes"))</x:f>
        <x:v>202502</x:v>
      </x:c>
      <x:c r="H95" s="11" t="str">
        <x:f>IF(C95=0,"Partial only",IF(C95&gt;=2,"Yes","No"))</x:f>
        <x:v>No</x:v>
      </x:c>
      <x:c r="I95" s="11" t="n">
        <x:f>IF(C95=0,"",INT(G95/100)-INT(F95/100)+1)</x:f>
        <x:v>1</x:v>
      </x:c>
      <x:c r="J95" s="11" t="str">
        <x:v>Romance / New Adult</x:v>
      </x:c>
      <x:c r="K95" s="11" t="str">
        <x:v>LYX</x:v>
      </x:c>
      <x:c r="L95" s="11" t="str">
        <x:v>2025-01-31</x:v>
      </x:c>
      <x:c r="M95" s="11" t="str">
        <x:v>978-3-7363-2348-3</x:v>
      </x:c>
      <x:c r="N95" s="11" t="str">
        <x:v>Yes</x:v>
      </x:c>
      <x:c r="O95" s="11" t="n">
        <x:v>4</x:v>
      </x:c>
      <x:c r="P95" s="11" t="str">
        <x:v>No</x:v>
      </x:c>
      <x:c r="Q95" s="11" t="str">
        <x:v>Full verified</x:v>
      </x:c>
    </x:row>
    <x:row r="96">
      <x:c r="A96" s="11" t="str">
        <x:v>Fever Dream</x:v>
      </x:c>
      <x:c r="B96" s="11" t="str">
        <x:v>Elsie Silver</x:v>
      </x:c>
      <x:c r="C96" s="11" t="n">
        <x:f>COUNTIFS(Rankings_Master!$D$2:$D$788,A96,Rankings_Master!$E$2:$E$788,B96,Rankings_Master!$J$2:$J$788,"Yes")</x:f>
        <x:v>1</x:v>
      </x:c>
      <x:c r="D96" s="11" t="n">
        <x:f>IF(C96=0,"",MINIFS(Rankings_Master!$B$2:$B$788,Rankings_Master!$D$2:$D$788,A96,Rankings_Master!$E$2:$E$788,B96,Rankings_Master!$J$2:$J$788,"Yes"))</x:f>
        <x:v>7</x:v>
      </x:c>
      <x:c r="E96" s="14" t="n">
        <x:f>IF(C96=0,"",SUMIFS(Rankings_Master!$B$2:$B$788,Rankings_Master!$D$2:$D$788,A96,Rankings_Master!$E$2:$E$788,B96,Rankings_Master!$J$2:$J$788,"Yes")/C96)</x:f>
        <x:v>7</x:v>
      </x:c>
      <x:c r="F96" s="11" t="n">
        <x:f>IF(C96=0,"",MINIFS(Rankings_Master!$H$2:$H$788,Rankings_Master!$D$2:$D$788,A96,Rankings_Master!$E$2:$E$788,B96,Rankings_Master!$J$2:$J$788,"Yes"))</x:f>
        <x:v>202605</x:v>
      </x:c>
      <x:c r="G96" s="11" t="n">
        <x:f>IF(C96=0,"",MAXIFS(Rankings_Master!$H$2:$H$788,Rankings_Master!$D$2:$D$788,A96,Rankings_Master!$E$2:$E$788,B96,Rankings_Master!$J$2:$J$788,"Yes"))</x:f>
        <x:v>202605</x:v>
      </x:c>
      <x:c r="H96" s="11" t="str">
        <x:f>IF(C96=0,"Partial only",IF(C96&gt;=2,"Yes","No"))</x:f>
        <x:v>No</x:v>
      </x:c>
      <x:c r="I96" s="11" t="n">
        <x:f>IF(C96=0,"",INT(G96/100)-INT(F96/100)+1)</x:f>
        <x:v>1</x:v>
      </x:c>
      <x:c r="J96" s="11" t="str">
        <x:v>Romance / New Adult</x:v>
      </x:c>
      <x:c r="K96" s="11" t="str">
        <x:v>LYX</x:v>
      </x:c>
      <x:c r="L96" s="11" t="str">
        <x:v>2026-05-19</x:v>
      </x:c>
      <x:c r="M96" s="11" t="str">
        <x:v>978-3-7363-2729-0</x:v>
      </x:c>
      <x:c r="N96" s="11" t="str">
        <x:v>Yes</x:v>
      </x:c>
      <x:c r="O96" s="11" t="n">
        <x:v>1</x:v>
      </x:c>
      <x:c r="P96" s="11" t="str">
        <x:v>No</x:v>
      </x:c>
      <x:c r="Q96" s="11" t="str">
        <x:v>Full verified</x:v>
      </x:c>
    </x:row>
    <x:row r="97">
      <x:c r="A97" s="11" t="str">
        <x:v>Flawless</x:v>
      </x:c>
      <x:c r="B97" s="11" t="str">
        <x:v>Elsie Silver</x:v>
      </x:c>
      <x:c r="C97" s="11" t="n">
        <x:f>COUNTIFS(Rankings_Master!$D$2:$D$788,A97,Rankings_Master!$E$2:$E$788,B97,Rankings_Master!$J$2:$J$788,"Yes")</x:f>
        <x:v>1</x:v>
      </x:c>
      <x:c r="D97" s="11" t="n">
        <x:f>IF(C97=0,"",MINIFS(Rankings_Master!$B$2:$B$788,Rankings_Master!$D$2:$D$788,A97,Rankings_Master!$E$2:$E$788,B97,Rankings_Master!$J$2:$J$788,"Yes"))</x:f>
        <x:v>14</x:v>
      </x:c>
      <x:c r="E97" s="14" t="n">
        <x:f>IF(C97=0,"",SUMIFS(Rankings_Master!$B$2:$B$788,Rankings_Master!$D$2:$D$788,A97,Rankings_Master!$E$2:$E$788,B97,Rankings_Master!$J$2:$J$788,"Yes")/C97)</x:f>
        <x:v>14</x:v>
      </x:c>
      <x:c r="F97" s="11" t="n">
        <x:f>IF(C97=0,"",MINIFS(Rankings_Master!$H$2:$H$788,Rankings_Master!$D$2:$D$788,A97,Rankings_Master!$E$2:$E$788,B97,Rankings_Master!$J$2:$J$788,"Yes"))</x:f>
        <x:v>202404</x:v>
      </x:c>
      <x:c r="G97" s="11" t="n">
        <x:f>IF(C97=0,"",MAXIFS(Rankings_Master!$H$2:$H$788,Rankings_Master!$D$2:$D$788,A97,Rankings_Master!$E$2:$E$788,B97,Rankings_Master!$J$2:$J$788,"Yes"))</x:f>
        <x:v>202404</x:v>
      </x:c>
      <x:c r="H97" s="11" t="str">
        <x:f>IF(C97=0,"Partial only",IF(C97&gt;=2,"Yes","No"))</x:f>
        <x:v>No</x:v>
      </x:c>
      <x:c r="I97" s="11" t="n">
        <x:f>IF(C97=0,"",INT(G97/100)-INT(F97/100)+1)</x:f>
        <x:v>1</x:v>
      </x:c>
      <x:c r="J97" s="11" t="str">
        <x:v>Romance / New Adult</x:v>
      </x:c>
      <x:c r="K97" s="11" t="str">
        <x:v>LYX</x:v>
      </x:c>
      <x:c r="L97" s="11" t="str">
        <x:v>2024-04-26</x:v>
      </x:c>
      <x:c r="M97" s="11" t="str">
        <x:v>978-3-7363-2241-7</x:v>
      </x:c>
      <x:c r="N97" s="11" t="str">
        <x:v>Yes</x:v>
      </x:c>
      <x:c r="O97" s="11" t="n">
        <x:v>1</x:v>
      </x:c>
      <x:c r="P97" s="11" t="str">
        <x:v>No</x:v>
      </x:c>
      <x:c r="Q97" s="11" t="str">
        <x:v>Full verified</x:v>
      </x:c>
    </x:row>
    <x:row r="98">
      <x:c r="A98" s="11" t="str">
        <x:v>Wild Side</x:v>
      </x:c>
      <x:c r="B98" s="11" t="str">
        <x:v>Elsie Silver</x:v>
      </x:c>
      <x:c r="C98" s="11" t="n">
        <x:f>COUNTIFS(Rankings_Master!$D$2:$D$788,A98,Rankings_Master!$E$2:$E$788,B98,Rankings_Master!$J$2:$J$788,"Yes")</x:f>
        <x:v>1</x:v>
      </x:c>
      <x:c r="D98" s="11" t="n">
        <x:f>IF(C98=0,"",MINIFS(Rankings_Master!$B$2:$B$788,Rankings_Master!$D$2:$D$788,A98,Rankings_Master!$E$2:$E$788,B98,Rankings_Master!$J$2:$J$788,"Yes"))</x:f>
        <x:v>19</x:v>
      </x:c>
      <x:c r="E98" s="14" t="n">
        <x:f>IF(C98=0,"",SUMIFS(Rankings_Master!$B$2:$B$788,Rankings_Master!$D$2:$D$788,A98,Rankings_Master!$E$2:$E$788,B98,Rankings_Master!$J$2:$J$788,"Yes")/C98)</x:f>
        <x:v>19</x:v>
      </x:c>
      <x:c r="F98" s="11" t="n">
        <x:f>IF(C98=0,"",MINIFS(Rankings_Master!$H$2:$H$788,Rankings_Master!$D$2:$D$788,A98,Rankings_Master!$E$2:$E$788,B98,Rankings_Master!$J$2:$J$788,"Yes"))</x:f>
        <x:v>202503</x:v>
      </x:c>
      <x:c r="G98" s="11" t="n">
        <x:f>IF(C98=0,"",MAXIFS(Rankings_Master!$H$2:$H$788,Rankings_Master!$D$2:$D$788,A98,Rankings_Master!$E$2:$E$788,B98,Rankings_Master!$J$2:$J$788,"Yes"))</x:f>
        <x:v>202503</x:v>
      </x:c>
      <x:c r="H98" s="11" t="str">
        <x:f>IF(C98=0,"Partial only",IF(C98&gt;=2,"Yes","No"))</x:f>
        <x:v>No</x:v>
      </x:c>
      <x:c r="I98" s="11" t="n">
        <x:f>IF(C98=0,"",INT(G98/100)-INT(F98/100)+1)</x:f>
        <x:v>1</x:v>
      </x:c>
      <x:c r="J98" s="11" t="str">
        <x:v>Romance / New Adult</x:v>
      </x:c>
      <x:c r="K98" s="11" t="str">
        <x:v>LYX</x:v>
      </x:c>
      <x:c r="L98" s="11" t="str">
        <x:v>2025-08-29</x:v>
      </x:c>
      <x:c r="M98" s="11"/>
      <x:c r="N98" s="11" t="str">
        <x:v>Yes</x:v>
      </x:c>
      <x:c r="O98" s="11" t="n">
        <x:v>3</x:v>
      </x:c>
      <x:c r="P98" s="11" t="str">
        <x:v>No</x:v>
      </x:c>
      <x:c r="Q98" s="11" t="str">
        <x:v>Core verified</x:v>
      </x:c>
    </x:row>
    <x:row r="99">
      <x:c r="A99" s="11" t="str">
        <x:v>Funny Story</x:v>
      </x:c>
      <x:c r="B99" s="11" t="str">
        <x:v>Emily Henry</x:v>
      </x:c>
      <x:c r="C99" s="11" t="n">
        <x:f>COUNTIFS(Rankings_Master!$D$2:$D$788,A99,Rankings_Master!$E$2:$E$788,B99,Rankings_Master!$J$2:$J$788,"Yes")</x:f>
        <x:v>1</x:v>
      </x:c>
      <x:c r="D99" s="11" t="n">
        <x:f>IF(C99=0,"",MINIFS(Rankings_Master!$B$2:$B$788,Rankings_Master!$D$2:$D$788,A99,Rankings_Master!$E$2:$E$788,B99,Rankings_Master!$J$2:$J$788,"Yes"))</x:f>
        <x:v>20</x:v>
      </x:c>
      <x:c r="E99" s="14" t="n">
        <x:f>IF(C99=0,"",SUMIFS(Rankings_Master!$B$2:$B$788,Rankings_Master!$D$2:$D$788,A99,Rankings_Master!$E$2:$E$788,B99,Rankings_Master!$J$2:$J$788,"Yes")/C99)</x:f>
        <x:v>20</x:v>
      </x:c>
      <x:c r="F99" s="11" t="n">
        <x:f>IF(C99=0,"",MINIFS(Rankings_Master!$H$2:$H$788,Rankings_Master!$D$2:$D$788,A99,Rankings_Master!$E$2:$E$788,B99,Rankings_Master!$J$2:$J$788,"Yes"))</x:f>
        <x:v>202405</x:v>
      </x:c>
      <x:c r="G99" s="11" t="n">
        <x:f>IF(C99=0,"",MAXIFS(Rankings_Master!$H$2:$H$788,Rankings_Master!$D$2:$D$788,A99,Rankings_Master!$E$2:$E$788,B99,Rankings_Master!$J$2:$J$788,"Yes"))</x:f>
        <x:v>202405</x:v>
      </x:c>
      <x:c r="H99" s="11" t="str">
        <x:f>IF(C99=0,"Partial only",IF(C99&gt;=2,"Yes","No"))</x:f>
        <x:v>No</x:v>
      </x:c>
      <x:c r="I99" s="11" t="n">
        <x:f>IF(C99=0,"",INT(G99/100)-INT(F99/100)+1)</x:f>
        <x:v>1</x:v>
      </x:c>
      <x:c r="J99" s="11" t="str">
        <x:v>Romance / Contemporary</x:v>
      </x:c>
      <x:c r="K99" s="11" t="str">
        <x:v>Knaur TB</x:v>
      </x:c>
      <x:c r="L99" s="11" t="str">
        <x:v>2024-05-02</x:v>
      </x:c>
      <x:c r="M99" s="11" t="str">
        <x:v>978-3-426-28432-2</x:v>
      </x:c>
      <x:c r="N99" s="11" t="str">
        <x:v>No</x:v>
      </x:c>
      <x:c r="O99" s="11"/>
      <x:c r="P99" s="11" t="str">
        <x:v>No</x:v>
      </x:c>
      <x:c r="Q99" s="11" t="str">
        <x:v>Full verified</x:v>
      </x:c>
    </x:row>
    <x:row r="100">
      <x:c r="A100" s="11" t="str">
        <x:v>Hooked</x:v>
      </x:c>
      <x:c r="B100" s="11" t="str">
        <x:v>Emily McIntire</x:v>
      </x:c>
      <x:c r="C100" s="11" t="n">
        <x:f>COUNTIFS(Rankings_Master!$D$2:$D$788,A100,Rankings_Master!$E$2:$E$788,B100,Rankings_Master!$J$2:$J$788,"Yes")</x:f>
        <x:v>1</x:v>
      </x:c>
      <x:c r="D100" s="11" t="n">
        <x:f>IF(C100=0,"",MINIFS(Rankings_Master!$B$2:$B$788,Rankings_Master!$D$2:$D$788,A100,Rankings_Master!$E$2:$E$788,B100,Rankings_Master!$J$2:$J$788,"Yes"))</x:f>
        <x:v>10</x:v>
      </x:c>
      <x:c r="E100" s="14" t="n">
        <x:f>IF(C100=0,"",SUMIFS(Rankings_Master!$B$2:$B$788,Rankings_Master!$D$2:$D$788,A100,Rankings_Master!$E$2:$E$788,B100,Rankings_Master!$J$2:$J$788,"Yes")/C100)</x:f>
        <x:v>10</x:v>
      </x:c>
      <x:c r="F100" s="11" t="n">
        <x:f>IF(C100=0,"",MINIFS(Rankings_Master!$H$2:$H$788,Rankings_Master!$D$2:$D$788,A100,Rankings_Master!$E$2:$E$788,B100,Rankings_Master!$J$2:$J$788,"Yes"))</x:f>
        <x:v>202405</x:v>
      </x:c>
      <x:c r="G100" s="11" t="n">
        <x:f>IF(C100=0,"",MAXIFS(Rankings_Master!$H$2:$H$788,Rankings_Master!$D$2:$D$788,A100,Rankings_Master!$E$2:$E$788,B100,Rankings_Master!$J$2:$J$788,"Yes"))</x:f>
        <x:v>202405</x:v>
      </x:c>
      <x:c r="H100" s="11" t="str">
        <x:f>IF(C100=0,"Partial only",IF(C100&gt;=2,"Yes","No"))</x:f>
        <x:v>No</x:v>
      </x:c>
      <x:c r="I100" s="11" t="n">
        <x:f>IF(C100=0,"",INT(G100/100)-INT(F100/100)+1)</x:f>
        <x:v>1</x:v>
      </x:c>
      <x:c r="J100" s="11" t="str">
        <x:v>Dark Romance</x:v>
      </x:c>
      <x:c r="K100" s="11" t="str">
        <x:v>Piper</x:v>
      </x:c>
      <x:c r="L100" s="11" t="str">
        <x:v>2024-03-28</x:v>
      </x:c>
      <x:c r="M100" s="11" t="str">
        <x:v>978-3-492-50759-2</x:v>
      </x:c>
      <x:c r="N100" s="11" t="str">
        <x:v>Yes</x:v>
      </x:c>
      <x:c r="O100" s="11" t="n">
        <x:v>1</x:v>
      </x:c>
      <x:c r="P100" s="11" t="str">
        <x:v>No</x:v>
      </x:c>
      <x:c r="Q100" s="11" t="str">
        <x:v>Full verified</x:v>
      </x:c>
    </x:row>
    <x:row r="101">
      <x:c r="A101" s="11" t="str">
        <x:v>The Deadly Side of Love</x:v>
      </x:c>
      <x:c r="B101" s="11" t="str">
        <x:v>Francis Eden</x:v>
      </x:c>
      <x:c r="C101" s="11" t="n">
        <x:f>COUNTIFS(Rankings_Master!$D$2:$D$788,A101,Rankings_Master!$E$2:$E$788,B101,Rankings_Master!$J$2:$J$788,"Yes")</x:f>
        <x:v>1</x:v>
      </x:c>
      <x:c r="D101" s="11" t="n">
        <x:f>IF(C101=0,"",MINIFS(Rankings_Master!$B$2:$B$788,Rankings_Master!$D$2:$D$788,A101,Rankings_Master!$E$2:$E$788,B101,Rankings_Master!$J$2:$J$788,"Yes"))</x:f>
        <x:v>16</x:v>
      </x:c>
      <x:c r="E101" s="14" t="n">
        <x:f>IF(C101=0,"",SUMIFS(Rankings_Master!$B$2:$B$788,Rankings_Master!$D$2:$D$788,A101,Rankings_Master!$E$2:$E$788,B101,Rankings_Master!$J$2:$J$788,"Yes")/C101)</x:f>
        <x:v>16</x:v>
      </x:c>
      <x:c r="F101" s="11" t="n">
        <x:f>IF(C101=0,"",MINIFS(Rankings_Master!$H$2:$H$788,Rankings_Master!$D$2:$D$788,A101,Rankings_Master!$E$2:$E$788,B101,Rankings_Master!$J$2:$J$788,"Yes"))</x:f>
        <x:v>202509</x:v>
      </x:c>
      <x:c r="G101" s="11" t="n">
        <x:f>IF(C101=0,"",MAXIFS(Rankings_Master!$H$2:$H$788,Rankings_Master!$D$2:$D$788,A101,Rankings_Master!$E$2:$E$788,B101,Rankings_Master!$J$2:$J$788,"Yes"))</x:f>
        <x:v>202509</x:v>
      </x:c>
      <x:c r="H101" s="11" t="str">
        <x:f>IF(C101=0,"Partial only",IF(C101&gt;=2,"Yes","No"))</x:f>
        <x:v>No</x:v>
      </x:c>
      <x:c r="I101" s="11" t="n">
        <x:f>IF(C101=0,"",INT(G101/100)-INT(F101/100)+1)</x:f>
        <x:v>1</x:v>
      </x:c>
      <x:c r="J101" s="11" t="str">
        <x:v>Fantasy / Romantasy</x:v>
      </x:c>
      <x:c r="K101" s="11" t="str">
        <x:v>Leaf Verlag</x:v>
      </x:c>
      <x:c r="L101" s="11" t="str">
        <x:v>2025-09-16</x:v>
      </x:c>
      <x:c r="M101" s="11" t="str">
        <x:v>978-3-911244-49-7</x:v>
      </x:c>
      <x:c r="N101" s="11" t="str">
        <x:v>Yes</x:v>
      </x:c>
      <x:c r="O101" s="11" t="n">
        <x:v>1</x:v>
      </x:c>
      <x:c r="P101" s="11" t="str">
        <x:v>No</x:v>
      </x:c>
      <x:c r="Q101" s="11" t="str">
        <x:v>Full verified</x:v>
      </x:c>
    </x:row>
    <x:row r="102">
      <x:c r="A102" s="11" t="str">
        <x:v>Der Lehrer – Will er dir helfen oder will er deinen Tod?</x:v>
      </x:c>
      <x:c r="B102" s="11" t="str">
        <x:v>Freida McFadden</x:v>
      </x:c>
      <x:c r="C102" s="11" t="n">
        <x:f>COUNTIFS(Rankings_Master!$D$2:$D$788,A102,Rankings_Master!$E$2:$E$788,B102,Rankings_Master!$J$2:$J$788,"Yes")</x:f>
        <x:v>6</x:v>
      </x:c>
      <x:c r="D102" s="11" t="n">
        <x:f>IF(C102=0,"",MINIFS(Rankings_Master!$B$2:$B$788,Rankings_Master!$D$2:$D$788,A102,Rankings_Master!$E$2:$E$788,B102,Rankings_Master!$J$2:$J$788,"Yes"))</x:f>
        <x:v>4</x:v>
      </x:c>
      <x:c r="E102" s="14" t="n">
        <x:f>IF(C102=0,"",SUMIFS(Rankings_Master!$B$2:$B$788,Rankings_Master!$D$2:$D$788,A102,Rankings_Master!$E$2:$E$788,B102,Rankings_Master!$J$2:$J$788,"Yes")/C102)</x:f>
        <x:v>12</x:v>
      </x:c>
      <x:c r="F102" s="11" t="n">
        <x:f>IF(C102=0,"",MINIFS(Rankings_Master!$H$2:$H$788,Rankings_Master!$D$2:$D$788,A102,Rankings_Master!$E$2:$E$788,B102,Rankings_Master!$J$2:$J$788,"Yes"))</x:f>
        <x:v>202508</x:v>
      </x:c>
      <x:c r="G102" s="11" t="n">
        <x:f>IF(C102=0,"",MAXIFS(Rankings_Master!$H$2:$H$788,Rankings_Master!$D$2:$D$788,A102,Rankings_Master!$E$2:$E$788,B102,Rankings_Master!$J$2:$J$788,"Yes"))</x:f>
        <x:v>202601</x:v>
      </x:c>
      <x:c r="H102" s="11" t="str">
        <x:f>IF(C102=0,"Partial only",IF(C102&gt;=2,"Yes","No"))</x:f>
        <x:v>Yes</x:v>
      </x:c>
      <x:c r="I102" s="11" t="n">
        <x:f>IF(C102=0,"",INT(G102/100)-INT(F102/100)+1)</x:f>
        <x:v>2</x:v>
      </x:c>
      <x:c r="J102" s="11" t="str">
        <x:v>Thriller / Suspense</x:v>
      </x:c>
      <x:c r="K102" s="11" t="str">
        <x:v>Heyne</x:v>
      </x:c>
      <x:c r="L102" s="11" t="str">
        <x:v>2025</x:v>
      </x:c>
      <x:c r="M102" s="11" t="str">
        <x:v>978-3-453-42949-9</x:v>
      </x:c>
      <x:c r="N102" s="11" t="str">
        <x:v>No</x:v>
      </x:c>
      <x:c r="O102" s="11"/>
      <x:c r="P102" s="11" t="str">
        <x:v>No</x:v>
      </x:c>
      <x:c r="Q102" s="11" t="str">
        <x:v>Core verified</x:v>
      </x:c>
    </x:row>
    <x:row r="103">
      <x:c r="A103" s="11" t="str">
        <x:v>Die Kollegin - Wer hat sie so sehr gehasst, dass sie sterben musste?</x:v>
      </x:c>
      <x:c r="B103" s="11" t="str">
        <x:v>Freida McFadden</x:v>
      </x:c>
      <x:c r="C103" s="11" t="n">
        <x:f>COUNTIFS(Rankings_Master!$D$2:$D$788,A103,Rankings_Master!$E$2:$E$788,B103,Rankings_Master!$J$2:$J$788,"Yes")</x:f>
        <x:v>1</x:v>
      </x:c>
      <x:c r="D103" s="11" t="n">
        <x:f>IF(C103=0,"",MINIFS(Rankings_Master!$B$2:$B$788,Rankings_Master!$D$2:$D$788,A103,Rankings_Master!$E$2:$E$788,B103,Rankings_Master!$J$2:$J$788,"Yes"))</x:f>
        <x:v>17</x:v>
      </x:c>
      <x:c r="E103" s="14" t="n">
        <x:f>IF(C103=0,"",SUMIFS(Rankings_Master!$B$2:$B$788,Rankings_Master!$D$2:$D$788,A103,Rankings_Master!$E$2:$E$788,B103,Rankings_Master!$J$2:$J$788,"Yes")/C103)</x:f>
        <x:v>17</x:v>
      </x:c>
      <x:c r="F103" s="11" t="n">
        <x:f>IF(C103=0,"",MINIFS(Rankings_Master!$H$2:$H$788,Rankings_Master!$D$2:$D$788,A103,Rankings_Master!$E$2:$E$788,B103,Rankings_Master!$J$2:$J$788,"Yes"))</x:f>
        <x:v>202510</x:v>
      </x:c>
      <x:c r="G103" s="11" t="n">
        <x:f>IF(C103=0,"",MAXIFS(Rankings_Master!$H$2:$H$788,Rankings_Master!$D$2:$D$788,A103,Rankings_Master!$E$2:$E$788,B103,Rankings_Master!$J$2:$J$788,"Yes"))</x:f>
        <x:v>202510</x:v>
      </x:c>
      <x:c r="H103" s="11" t="str">
        <x:f>IF(C103=0,"Partial only",IF(C103&gt;=2,"Yes","No"))</x:f>
        <x:v>No</x:v>
      </x:c>
      <x:c r="I103" s="11" t="n">
        <x:f>IF(C103=0,"",INT(G103/100)-INT(F103/100)+1)</x:f>
        <x:v>1</x:v>
      </x:c>
      <x:c r="J103" s="11" t="str">
        <x:v>Thriller / Suspense</x:v>
      </x:c>
      <x:c r="K103" s="11" t="str">
        <x:v>Heyne</x:v>
      </x:c>
      <x:c r="L103" s="11" t="str">
        <x:v>2025-03-26</x:v>
      </x:c>
      <x:c r="M103" s="11" t="str">
        <x:v>978-3-453-44348-8</x:v>
      </x:c>
      <x:c r="N103" s="11" t="str">
        <x:v>No</x:v>
      </x:c>
      <x:c r="O103" s="11"/>
      <x:c r="P103" s="11" t="str">
        <x:v>No</x:v>
      </x:c>
      <x:c r="Q103" s="11" t="str">
        <x:v>Full verified</x:v>
      </x:c>
    </x:row>
    <x:row r="104">
      <x:c r="A104" s="11" t="str">
        <x:v>Die Psychiaterin - Wurde ihr der Job zum Verhängnis?</x:v>
      </x:c>
      <x:c r="B104" s="11" t="str">
        <x:v>Freida McFadden</x:v>
      </x:c>
      <x:c r="C104" s="11" t="n">
        <x:f>COUNTIFS(Rankings_Master!$D$2:$D$788,A104,Rankings_Master!$E$2:$E$788,B104,Rankings_Master!$J$2:$J$788,"Yes")</x:f>
        <x:v>1</x:v>
      </x:c>
      <x:c r="D104" s="11" t="n">
        <x:f>IF(C104=0,"",MINIFS(Rankings_Master!$B$2:$B$788,Rankings_Master!$D$2:$D$788,A104,Rankings_Master!$E$2:$E$788,B104,Rankings_Master!$J$2:$J$788,"Yes"))</x:f>
        <x:v>3</x:v>
      </x:c>
      <x:c r="E104" s="14" t="n">
        <x:f>IF(C104=0,"",SUMIFS(Rankings_Master!$B$2:$B$788,Rankings_Master!$D$2:$D$788,A104,Rankings_Master!$E$2:$E$788,B104,Rankings_Master!$J$2:$J$788,"Yes")/C104)</x:f>
        <x:v>3</x:v>
      </x:c>
      <x:c r="F104" s="11" t="n">
        <x:f>IF(C104=0,"",MINIFS(Rankings_Master!$H$2:$H$788,Rankings_Master!$D$2:$D$788,A104,Rankings_Master!$E$2:$E$788,B104,Rankings_Master!$J$2:$J$788,"Yes"))</x:f>
        <x:v>202607</x:v>
      </x:c>
      <x:c r="G104" s="11" t="n">
        <x:f>IF(C104=0,"",MAXIFS(Rankings_Master!$H$2:$H$788,Rankings_Master!$D$2:$D$788,A104,Rankings_Master!$E$2:$E$788,B104,Rankings_Master!$J$2:$J$788,"Yes"))</x:f>
        <x:v>202607</x:v>
      </x:c>
      <x:c r="H104" s="11" t="str">
        <x:f>IF(C104=0,"Partial only",IF(C104&gt;=2,"Yes","No"))</x:f>
        <x:v>No</x:v>
      </x:c>
      <x:c r="I104" s="11" t="n">
        <x:f>IF(C104=0,"",INT(G104/100)-INT(F104/100)+1)</x:f>
        <x:v>1</x:v>
      </x:c>
      <x:c r="J104" s="11" t="str">
        <x:v>Thriller / Suspense</x:v>
      </x:c>
      <x:c r="K104" s="11" t="str">
        <x:v>Heyne</x:v>
      </x:c>
      <x:c r="L104" s="11" t="str">
        <x:v>2026-07-15</x:v>
      </x:c>
      <x:c r="M104" s="11" t="str">
        <x:v>978-3-453-44355-6</x:v>
      </x:c>
      <x:c r="N104" s="11" t="str">
        <x:v>No</x:v>
      </x:c>
      <x:c r="O104" s="11"/>
      <x:c r="P104" s="11" t="str">
        <x:v>No</x:v>
      </x:c>
      <x:c r="Q104" s="11" t="str">
        <x:v>Full verified</x:v>
      </x:c>
    </x:row>
    <x:row r="105">
      <x:c r="A105" s="11" t="str">
        <x:v>Beyond the Play 1: First Down</x:v>
      </x:c>
      <x:c r="B105" s="11" t="str">
        <x:v>Grace Reilly</x:v>
      </x:c>
      <x:c r="C105" s="11" t="n">
        <x:f>COUNTIFS(Rankings_Master!$D$2:$D$788,A105,Rankings_Master!$E$2:$E$788,B105,Rankings_Master!$J$2:$J$788,"Yes")</x:f>
        <x:v>1</x:v>
      </x:c>
      <x:c r="D105" s="11" t="n">
        <x:f>IF(C105=0,"",MINIFS(Rankings_Master!$B$2:$B$788,Rankings_Master!$D$2:$D$788,A105,Rankings_Master!$E$2:$E$788,B105,Rankings_Master!$J$2:$J$788,"Yes"))</x:f>
        <x:v>12</x:v>
      </x:c>
      <x:c r="E105" s="14" t="n">
        <x:f>IF(C105=0,"",SUMIFS(Rankings_Master!$B$2:$B$788,Rankings_Master!$D$2:$D$788,A105,Rankings_Master!$E$2:$E$788,B105,Rankings_Master!$J$2:$J$788,"Yes")/C105)</x:f>
        <x:v>12</x:v>
      </x:c>
      <x:c r="F105" s="11" t="n">
        <x:f>IF(C105=0,"",MINIFS(Rankings_Master!$H$2:$H$788,Rankings_Master!$D$2:$D$788,A105,Rankings_Master!$E$2:$E$788,B105,Rankings_Master!$J$2:$J$788,"Yes"))</x:f>
        <x:v>202410</x:v>
      </x:c>
      <x:c r="G105" s="11" t="n">
        <x:f>IF(C105=0,"",MAXIFS(Rankings_Master!$H$2:$H$788,Rankings_Master!$D$2:$D$788,A105,Rankings_Master!$E$2:$E$788,B105,Rankings_Master!$J$2:$J$788,"Yes"))</x:f>
        <x:v>202410</x:v>
      </x:c>
      <x:c r="H105" s="11" t="str">
        <x:f>IF(C105=0,"Partial only",IF(C105&gt;=2,"Yes","No"))</x:f>
        <x:v>No</x:v>
      </x:c>
      <x:c r="I105" s="11" t="n">
        <x:f>IF(C105=0,"",INT(G105/100)-INT(F105/100)+1)</x:f>
        <x:v>1</x:v>
      </x:c>
      <x:c r="J105" s="11" t="str">
        <x:v>Romance / New Adult</x:v>
      </x:c>
      <x:c r="K105" s="11" t="str">
        <x:v>Carlsen</x:v>
      </x:c>
      <x:c r="L105" s="11" t="str">
        <x:v>2024-09-26</x:v>
      </x:c>
      <x:c r="M105" s="11" t="str">
        <x:v>978-3-551-58570-7</x:v>
      </x:c>
      <x:c r="N105" s="11" t="str">
        <x:v>Yes</x:v>
      </x:c>
      <x:c r="O105" s="11" t="n">
        <x:v>1</x:v>
      </x:c>
      <x:c r="P105" s="11" t="str">
        <x:v>No</x:v>
      </x:c>
      <x:c r="Q105" s="11" t="str">
        <x:v>Full verified</x:v>
      </x:c>
    </x:row>
    <x:row r="106">
      <x:c r="A106" s="11" t="str">
        <x:v>Haunting Adeline 01</x:v>
      </x:c>
      <x:c r="B106" s="11" t="str">
        <x:v>H. D. Carlton</x:v>
      </x:c>
      <x:c r="C106" s="11" t="n">
        <x:f>COUNTIFS(Rankings_Master!$D$2:$D$788,A106,Rankings_Master!$E$2:$E$788,B106,Rankings_Master!$J$2:$J$788,"Yes")</x:f>
        <x:v>9</x:v>
      </x:c>
      <x:c r="D106" s="11" t="n">
        <x:f>IF(C106=0,"",MINIFS(Rankings_Master!$B$2:$B$788,Rankings_Master!$D$2:$D$788,A106,Rankings_Master!$E$2:$E$788,B106,Rankings_Master!$J$2:$J$788,"Yes"))</x:f>
        <x:v>1</x:v>
      </x:c>
      <x:c r="E106" s="14" t="n">
        <x:f>IF(C106=0,"",SUMIFS(Rankings_Master!$B$2:$B$788,Rankings_Master!$D$2:$D$788,A106,Rankings_Master!$E$2:$E$788,B106,Rankings_Master!$J$2:$J$788,"Yes")/C106)</x:f>
        <x:v>6.444444444444445</x:v>
      </x:c>
      <x:c r="F106" s="11" t="n">
        <x:f>IF(C106=0,"",MINIFS(Rankings_Master!$H$2:$H$788,Rankings_Master!$D$2:$D$788,A106,Rankings_Master!$E$2:$E$788,B106,Rankings_Master!$J$2:$J$788,"Yes"))</x:f>
        <x:v>202404</x:v>
      </x:c>
      <x:c r="G106" s="11" t="n">
        <x:f>IF(C106=0,"",MAXIFS(Rankings_Master!$H$2:$H$788,Rankings_Master!$D$2:$D$788,A106,Rankings_Master!$E$2:$E$788,B106,Rankings_Master!$J$2:$J$788,"Yes"))</x:f>
        <x:v>202501</x:v>
      </x:c>
      <x:c r="H106" s="11" t="str">
        <x:f>IF(C106=0,"Partial only",IF(C106&gt;=2,"Yes","No"))</x:f>
        <x:v>Yes</x:v>
      </x:c>
      <x:c r="I106" s="11" t="n">
        <x:f>IF(C106=0,"",INT(G106/100)-INT(F106/100)+1)</x:f>
        <x:v>2</x:v>
      </x:c>
      <x:c r="J106" s="11" t="str">
        <x:v>Dark Romance</x:v>
      </x:c>
      <x:c r="K106" s="11" t="str">
        <x:v>VAJONA</x:v>
      </x:c>
      <x:c r="L106" s="11" t="str">
        <x:v>2024-04-03</x:v>
      </x:c>
      <x:c r="M106" s="11" t="str">
        <x:v>978-3-98718-224-2</x:v>
      </x:c>
      <x:c r="N106" s="11" t="str">
        <x:v>Yes</x:v>
      </x:c>
      <x:c r="O106" s="11" t="n">
        <x:v>1</x:v>
      </x:c>
      <x:c r="P106" s="11" t="str">
        <x:v>No</x:v>
      </x:c>
      <x:c r="Q106" s="11" t="str">
        <x:v>Full verified</x:v>
      </x:c>
    </x:row>
    <x:row r="107">
      <x:c r="A107" s="11" t="str">
        <x:v>Hunting Adeline 02</x:v>
      </x:c>
      <x:c r="B107" s="11" t="str">
        <x:v>H. D. Carlton</x:v>
      </x:c>
      <x:c r="C107" s="11" t="n">
        <x:f>COUNTIFS(Rankings_Master!$D$2:$D$788,A107,Rankings_Master!$E$2:$E$788,B107,Rankings_Master!$J$2:$J$788,"Yes")</x:f>
        <x:v>3</x:v>
      </x:c>
      <x:c r="D107" s="11" t="n">
        <x:f>IF(C107=0,"",MINIFS(Rankings_Master!$B$2:$B$788,Rankings_Master!$D$2:$D$788,A107,Rankings_Master!$E$2:$E$788,B107,Rankings_Master!$J$2:$J$788,"Yes"))</x:f>
        <x:v>6</x:v>
      </x:c>
      <x:c r="E107" s="14" t="n">
        <x:f>IF(C107=0,"",SUMIFS(Rankings_Master!$B$2:$B$788,Rankings_Master!$D$2:$D$788,A107,Rankings_Master!$E$2:$E$788,B107,Rankings_Master!$J$2:$J$788,"Yes")/C107)</x:f>
        <x:v>7.333333333333333</x:v>
      </x:c>
      <x:c r="F107" s="11" t="n">
        <x:f>IF(C107=0,"",MINIFS(Rankings_Master!$H$2:$H$788,Rankings_Master!$D$2:$D$788,A107,Rankings_Master!$E$2:$E$788,B107,Rankings_Master!$J$2:$J$788,"Yes"))</x:f>
        <x:v>202406</x:v>
      </x:c>
      <x:c r="G107" s="11" t="n">
        <x:f>IF(C107=0,"",MAXIFS(Rankings_Master!$H$2:$H$788,Rankings_Master!$D$2:$D$788,A107,Rankings_Master!$E$2:$E$788,B107,Rankings_Master!$J$2:$J$788,"Yes"))</x:f>
        <x:v>202409</x:v>
      </x:c>
      <x:c r="H107" s="11" t="str">
        <x:f>IF(C107=0,"Partial only",IF(C107&gt;=2,"Yes","No"))</x:f>
        <x:v>Yes</x:v>
      </x:c>
      <x:c r="I107" s="11" t="n">
        <x:f>IF(C107=0,"",INT(G107/100)-INT(F107/100)+1)</x:f>
        <x:v>1</x:v>
      </x:c>
      <x:c r="J107" s="11" t="str">
        <x:v>Dark Romance</x:v>
      </x:c>
      <x:c r="K107" s="11" t="str">
        <x:v>VAJONA</x:v>
      </x:c>
      <x:c r="L107" s="11" t="str">
        <x:v>2024-04-03</x:v>
      </x:c>
      <x:c r="M107" s="11" t="str">
        <x:v>978-3-98718-226-6</x:v>
      </x:c>
      <x:c r="N107" s="11" t="str">
        <x:v>Yes</x:v>
      </x:c>
      <x:c r="O107" s="11" t="n">
        <x:v>2</x:v>
      </x:c>
      <x:c r="P107" s="11" t="str">
        <x:v>No</x:v>
      </x:c>
      <x:c r="Q107" s="11" t="str">
        <x:v>Full verified</x:v>
      </x:c>
    </x:row>
    <x:row r="108">
      <x:c r="A108" s="11" t="str">
        <x:v>Satan’s Affair</x:v>
      </x:c>
      <x:c r="B108" s="11" t="str">
        <x:v>H. D. Carlton</x:v>
      </x:c>
      <x:c r="C108" s="11" t="n">
        <x:f>COUNTIFS(Rankings_Master!$D$2:$D$788,A108,Rankings_Master!$E$2:$E$788,B108,Rankings_Master!$J$2:$J$788,"Yes")</x:f>
        <x:v>1</x:v>
      </x:c>
      <x:c r="D108" s="11" t="n">
        <x:f>IF(C108=0,"",MINIFS(Rankings_Master!$B$2:$B$788,Rankings_Master!$D$2:$D$788,A108,Rankings_Master!$E$2:$E$788,B108,Rankings_Master!$J$2:$J$788,"Yes"))</x:f>
        <x:v>5</x:v>
      </x:c>
      <x:c r="E108" s="14" t="n">
        <x:f>IF(C108=0,"",SUMIFS(Rankings_Master!$B$2:$B$788,Rankings_Master!$D$2:$D$788,A108,Rankings_Master!$E$2:$E$788,B108,Rankings_Master!$J$2:$J$788,"Yes")/C108)</x:f>
        <x:v>5</x:v>
      </x:c>
      <x:c r="F108" s="11" t="n">
        <x:f>IF(C108=0,"",MINIFS(Rankings_Master!$H$2:$H$788,Rankings_Master!$D$2:$D$788,A108,Rankings_Master!$E$2:$E$788,B108,Rankings_Master!$J$2:$J$788,"Yes"))</x:f>
        <x:v>202506</x:v>
      </x:c>
      <x:c r="G108" s="11" t="n">
        <x:f>IF(C108=0,"",MAXIFS(Rankings_Master!$H$2:$H$788,Rankings_Master!$D$2:$D$788,A108,Rankings_Master!$E$2:$E$788,B108,Rankings_Master!$J$2:$J$788,"Yes"))</x:f>
        <x:v>202506</x:v>
      </x:c>
      <x:c r="H108" s="11" t="str">
        <x:f>IF(C108=0,"Partial only",IF(C108&gt;=2,"Yes","No"))</x:f>
        <x:v>No</x:v>
      </x:c>
      <x:c r="I108" s="11" t="n">
        <x:f>IF(C108=0,"",INT(G108/100)-INT(F108/100)+1)</x:f>
        <x:v>1</x:v>
      </x:c>
      <x:c r="J108" s="11" t="str">
        <x:v>Dark Romance / Horror</x:v>
      </x:c>
      <x:c r="K108" s="11" t="str">
        <x:v>VAJONA</x:v>
      </x:c>
      <x:c r="L108" s="11" t="str">
        <x:v>2025-06-18</x:v>
      </x:c>
      <x:c r="M108" s="11" t="str">
        <x:v>978-3-98718-360-7</x:v>
      </x:c>
      <x:c r="N108" s="11" t="str">
        <x:v>Yes</x:v>
      </x:c>
      <x:c r="O108" s="11" t="n">
        <x:v>0.5</x:v>
      </x:c>
      <x:c r="P108" s="11" t="str">
        <x:v>No</x:v>
      </x:c>
      <x:c r="Q108" s="11" t="str">
        <x:v>Full verified</x:v>
      </x:c>
    </x:row>
    <x:row r="109">
      <x:c r="A109" s="11" t="str">
        <x:v>A Tempest of Tea</x:v>
      </x:c>
      <x:c r="B109" s="11" t="str">
        <x:v>Hafsah Faizal</x:v>
      </x:c>
      <x:c r="C109" s="11" t="n">
        <x:f>COUNTIFS(Rankings_Master!$D$2:$D$788,A109,Rankings_Master!$E$2:$E$788,B109,Rankings_Master!$J$2:$J$788,"Yes")</x:f>
        <x:v>1</x:v>
      </x:c>
      <x:c r="D109" s="11" t="n">
        <x:f>IF(C109=0,"",MINIFS(Rankings_Master!$B$2:$B$788,Rankings_Master!$D$2:$D$788,A109,Rankings_Master!$E$2:$E$788,B109,Rankings_Master!$J$2:$J$788,"Yes"))</x:f>
        <x:v>19</x:v>
      </x:c>
      <x:c r="E109" s="14" t="n">
        <x:f>IF(C109=0,"",SUMIFS(Rankings_Master!$B$2:$B$788,Rankings_Master!$D$2:$D$788,A109,Rankings_Master!$E$2:$E$788,B109,Rankings_Master!$J$2:$J$788,"Yes")/C109)</x:f>
        <x:v>19</x:v>
      </x:c>
      <x:c r="F109" s="11" t="n">
        <x:f>IF(C109=0,"",MINIFS(Rankings_Master!$H$2:$H$788,Rankings_Master!$D$2:$D$788,A109,Rankings_Master!$E$2:$E$788,B109,Rankings_Master!$J$2:$J$788,"Yes"))</x:f>
        <x:v>202404</x:v>
      </x:c>
      <x:c r="G109" s="11" t="n">
        <x:f>IF(C109=0,"",MAXIFS(Rankings_Master!$H$2:$H$788,Rankings_Master!$D$2:$D$788,A109,Rankings_Master!$E$2:$E$788,B109,Rankings_Master!$J$2:$J$788,"Yes"))</x:f>
        <x:v>202404</x:v>
      </x:c>
      <x:c r="H109" s="11" t="str">
        <x:f>IF(C109=0,"Partial only",IF(C109&gt;=2,"Yes","No"))</x:f>
        <x:v>No</x:v>
      </x:c>
      <x:c r="I109" s="11" t="n">
        <x:f>IF(C109=0,"",INT(G109/100)-INT(F109/100)+1)</x:f>
        <x:v>1</x:v>
      </x:c>
      <x:c r="J109" s="11" t="str">
        <x:v>Fantasy</x:v>
      </x:c>
      <x:c r="K109" s="11" t="str">
        <x:v>Knaur</x:v>
      </x:c>
      <x:c r="L109" s="11" t="str">
        <x:v>2024-05-02</x:v>
      </x:c>
      <x:c r="M109" s="11" t="str">
        <x:v>978-3-426-44818-2</x:v>
      </x:c>
      <x:c r="N109" s="11" t="str">
        <x:v>Yes</x:v>
      </x:c>
      <x:c r="O109" s="11" t="n">
        <x:v>1</x:v>
      </x:c>
      <x:c r="P109" s="11" t="str">
        <x:v>No</x:v>
      </x:c>
      <x:c r="Q109" s="11" t="str">
        <x:v>Full verified</x:v>
      </x:c>
    </x:row>
    <x:row r="110">
      <x:c r="A110" s="11" t="str">
        <x:v>Icebreaker</x:v>
      </x:c>
      <x:c r="B110" s="11" t="str">
        <x:v>Hannah Grace</x:v>
      </x:c>
      <x:c r="C110" s="11" t="n">
        <x:f>COUNTIFS(Rankings_Master!$D$2:$D$788,A110,Rankings_Master!$E$2:$E$788,B110,Rankings_Master!$J$2:$J$788,"Yes")</x:f>
        <x:v>21</x:v>
      </x:c>
      <x:c r="D110" s="11" t="n">
        <x:f>IF(C110=0,"",MINIFS(Rankings_Master!$B$2:$B$788,Rankings_Master!$D$2:$D$788,A110,Rankings_Master!$E$2:$E$788,B110,Rankings_Master!$J$2:$J$788,"Yes"))</x:f>
        <x:v>2</x:v>
      </x:c>
      <x:c r="E110" s="14" t="n">
        <x:f>IF(C110=0,"",SUMIFS(Rankings_Master!$B$2:$B$788,Rankings_Master!$D$2:$D$788,A110,Rankings_Master!$E$2:$E$788,B110,Rankings_Master!$J$2:$J$788,"Yes")/C110)</x:f>
        <x:v>5</x:v>
      </x:c>
      <x:c r="F110" s="11" t="n">
        <x:f>IF(C110=0,"",MINIFS(Rankings_Master!$H$2:$H$788,Rankings_Master!$D$2:$D$788,A110,Rankings_Master!$E$2:$E$788,B110,Rankings_Master!$J$2:$J$788,"Yes"))</x:f>
        <x:v>202307</x:v>
      </x:c>
      <x:c r="G110" s="11" t="n">
        <x:f>IF(C110=0,"",MAXIFS(Rankings_Master!$H$2:$H$788,Rankings_Master!$D$2:$D$788,A110,Rankings_Master!$E$2:$E$788,B110,Rankings_Master!$J$2:$J$788,"Yes"))</x:f>
        <x:v>202504</x:v>
      </x:c>
      <x:c r="H110" s="11" t="str">
        <x:f>IF(C110=0,"Partial only",IF(C110&gt;=2,"Yes","No"))</x:f>
        <x:v>Yes</x:v>
      </x:c>
      <x:c r="I110" s="11" t="n">
        <x:f>IF(C110=0,"",INT(G110/100)-INT(F110/100)+1)</x:f>
        <x:v>3</x:v>
      </x:c>
      <x:c r="J110" s="11" t="str">
        <x:v>Romance / New Adult</x:v>
      </x:c>
      <x:c r="K110" s="11" t="str">
        <x:v>LYX</x:v>
      </x:c>
      <x:c r="L110" s="11"/>
      <x:c r="M110" s="11" t="str">
        <x:v>978-3-7363-2084-0</x:v>
      </x:c>
      <x:c r="N110" s="11" t="str">
        <x:v>Yes</x:v>
      </x:c>
      <x:c r="O110" s="11" t="n">
        <x:v>1</x:v>
      </x:c>
      <x:c r="P110" s="11" t="str">
        <x:v>No</x:v>
      </x:c>
      <x:c r="Q110" s="11" t="str">
        <x:v>Core verified</x:v>
      </x:c>
    </x:row>
    <x:row r="111">
      <x:c r="A111" s="11" t="str">
        <x:v>Wildfire</x:v>
      </x:c>
      <x:c r="B111" s="11" t="str">
        <x:v>Hannah Grace</x:v>
      </x:c>
      <x:c r="C111" s="11" t="n">
        <x:f>COUNTIFS(Rankings_Master!$D$2:$D$788,A111,Rankings_Master!$E$2:$E$788,B111,Rankings_Master!$J$2:$J$788,"Yes")</x:f>
        <x:v>3</x:v>
      </x:c>
      <x:c r="D111" s="11" t="n">
        <x:f>IF(C111=0,"",MINIFS(Rankings_Master!$B$2:$B$788,Rankings_Master!$D$2:$D$788,A111,Rankings_Master!$E$2:$E$788,B111,Rankings_Master!$J$2:$J$788,"Yes"))</x:f>
        <x:v>7</x:v>
      </x:c>
      <x:c r="E111" s="14" t="n">
        <x:f>IF(C111=0,"",SUMIFS(Rankings_Master!$B$2:$B$788,Rankings_Master!$D$2:$D$788,A111,Rankings_Master!$E$2:$E$788,B111,Rankings_Master!$J$2:$J$788,"Yes")/C111)</x:f>
        <x:v>13</x:v>
      </x:c>
      <x:c r="F111" s="11" t="n">
        <x:f>IF(C111=0,"",MINIFS(Rankings_Master!$H$2:$H$788,Rankings_Master!$D$2:$D$788,A111,Rankings_Master!$E$2:$E$788,B111,Rankings_Master!$J$2:$J$788,"Yes"))</x:f>
        <x:v>202405</x:v>
      </x:c>
      <x:c r="G111" s="11" t="n">
        <x:f>IF(C111=0,"",MAXIFS(Rankings_Master!$H$2:$H$788,Rankings_Master!$D$2:$D$788,A111,Rankings_Master!$E$2:$E$788,B111,Rankings_Master!$J$2:$J$788,"Yes"))</x:f>
        <x:v>202412</x:v>
      </x:c>
      <x:c r="H111" s="11" t="str">
        <x:f>IF(C111=0,"Partial only",IF(C111&gt;=2,"Yes","No"))</x:f>
        <x:v>Yes</x:v>
      </x:c>
      <x:c r="I111" s="11" t="n">
        <x:f>IF(C111=0,"",INT(G111/100)-INT(F111/100)+1)</x:f>
        <x:v>1</x:v>
      </x:c>
      <x:c r="J111" s="11" t="str">
        <x:v>Romance / New Adult</x:v>
      </x:c>
      <x:c r="K111" s="11" t="str">
        <x:v>LYX</x:v>
      </x:c>
      <x:c r="L111" s="11" t="str">
        <x:v>2024-03-28</x:v>
      </x:c>
      <x:c r="M111" s="11" t="str">
        <x:v>978-3-7363-2085-7</x:v>
      </x:c>
      <x:c r="N111" s="11" t="str">
        <x:v>Yes</x:v>
      </x:c>
      <x:c r="O111" s="11" t="n">
        <x:v>2</x:v>
      </x:c>
      <x:c r="P111" s="11" t="str">
        <x:v>No</x:v>
      </x:c>
      <x:c r="Q111" s="11" t="str">
        <x:v>Full verified</x:v>
      </x:c>
    </x:row>
    <x:row r="112">
      <x:c r="A112" s="11" t="str">
        <x:v>Godkiller</x:v>
      </x:c>
      <x:c r="B112" s="11" t="str">
        <x:v>Hannah Kaner</x:v>
      </x:c>
      <x:c r="C112" s="11" t="n">
        <x:f>COUNTIFS(Rankings_Master!$D$2:$D$788,A112,Rankings_Master!$E$2:$E$788,B112,Rankings_Master!$J$2:$J$788,"Yes")</x:f>
        <x:v>1</x:v>
      </x:c>
      <x:c r="D112" s="11" t="n">
        <x:f>IF(C112=0,"",MINIFS(Rankings_Master!$B$2:$B$788,Rankings_Master!$D$2:$D$788,A112,Rankings_Master!$E$2:$E$788,B112,Rankings_Master!$J$2:$J$788,"Yes"))</x:f>
        <x:v>15</x:v>
      </x:c>
      <x:c r="E112" s="14" t="n">
        <x:f>IF(C112=0,"",SUMIFS(Rankings_Master!$B$2:$B$788,Rankings_Master!$D$2:$D$788,A112,Rankings_Master!$E$2:$E$788,B112,Rankings_Master!$J$2:$J$788,"Yes")/C112)</x:f>
        <x:v>15</x:v>
      </x:c>
      <x:c r="F112" s="11" t="n">
        <x:f>IF(C112=0,"",MINIFS(Rankings_Master!$H$2:$H$788,Rankings_Master!$D$2:$D$788,A112,Rankings_Master!$E$2:$E$788,B112,Rankings_Master!$J$2:$J$788,"Yes"))</x:f>
        <x:v>202402</x:v>
      </x:c>
      <x:c r="G112" s="11" t="n">
        <x:f>IF(C112=0,"",MAXIFS(Rankings_Master!$H$2:$H$788,Rankings_Master!$D$2:$D$788,A112,Rankings_Master!$E$2:$E$788,B112,Rankings_Master!$J$2:$J$788,"Yes"))</x:f>
        <x:v>202402</x:v>
      </x:c>
      <x:c r="H112" s="11" t="str">
        <x:f>IF(C112=0,"Partial only",IF(C112&gt;=2,"Yes","No"))</x:f>
        <x:v>No</x:v>
      </x:c>
      <x:c r="I112" s="11" t="n">
        <x:f>IF(C112=0,"",INT(G112/100)-INT(F112/100)+1)</x:f>
        <x:v>1</x:v>
      </x:c>
      <x:c r="J112" s="11" t="str">
        <x:v>Fantasy</x:v>
      </x:c>
      <x:c r="K112" s="11" t="str">
        <x:v>Piper</x:v>
      </x:c>
      <x:c r="L112" s="11" t="str">
        <x:v>2024-02-01</x:v>
      </x:c>
      <x:c r="M112" s="11" t="str">
        <x:v>978-3-492-70921-7</x:v>
      </x:c>
      <x:c r="N112" s="11" t="str">
        <x:v>Yes</x:v>
      </x:c>
      <x:c r="O112" s="11" t="n">
        <x:v>1</x:v>
      </x:c>
      <x:c r="P112" s="11" t="str">
        <x:v>No</x:v>
      </x:c>
      <x:c r="Q112" s="11" t="str">
        <x:v>Full verified</x:v>
      </x:c>
    </x:row>
    <x:row r="113">
      <x:c r="A113" s="11" t="str">
        <x:v>Ein wenig Leben</x:v>
      </x:c>
      <x:c r="B113" s="11" t="str">
        <x:v>Hanya Yanagihara</x:v>
      </x:c>
      <x:c r="C113" s="11" t="n">
        <x:f>COUNTIFS(Rankings_Master!$D$2:$D$788,A113,Rankings_Master!$E$2:$E$788,B113,Rankings_Master!$J$2:$J$788,"Yes")</x:f>
        <x:v>2</x:v>
      </x:c>
      <x:c r="D113" s="11" t="n">
        <x:f>IF(C113=0,"",MINIFS(Rankings_Master!$B$2:$B$788,Rankings_Master!$D$2:$D$788,A113,Rankings_Master!$E$2:$E$788,B113,Rankings_Master!$J$2:$J$788,"Yes"))</x:f>
        <x:v>9</x:v>
      </x:c>
      <x:c r="E113" s="14" t="n">
        <x:f>IF(C113=0,"",SUMIFS(Rankings_Master!$B$2:$B$788,Rankings_Master!$D$2:$D$788,A113,Rankings_Master!$E$2:$E$788,B113,Rankings_Master!$J$2:$J$788,"Yes")/C113)</x:f>
        <x:v>12</x:v>
      </x:c>
      <x:c r="F113" s="11" t="n">
        <x:f>IF(C113=0,"",MINIFS(Rankings_Master!$H$2:$H$788,Rankings_Master!$D$2:$D$788,A113,Rankings_Master!$E$2:$E$788,B113,Rankings_Master!$J$2:$J$788,"Yes"))</x:f>
        <x:v>202409</x:v>
      </x:c>
      <x:c r="G113" s="11" t="n">
        <x:f>IF(C113=0,"",MAXIFS(Rankings_Master!$H$2:$H$788,Rankings_Master!$D$2:$D$788,A113,Rankings_Master!$E$2:$E$788,B113,Rankings_Master!$J$2:$J$788,"Yes"))</x:f>
        <x:v>202412</x:v>
      </x:c>
      <x:c r="H113" s="11" t="str">
        <x:f>IF(C113=0,"Partial only",IF(C113&gt;=2,"Yes","No"))</x:f>
        <x:v>Yes</x:v>
      </x:c>
      <x:c r="I113" s="11" t="n">
        <x:f>IF(C113=0,"",INT(G113/100)-INT(F113/100)+1)</x:f>
        <x:v>1</x:v>
      </x:c>
      <x:c r="J113" s="11" t="str">
        <x:v>Contemporary Fiction</x:v>
      </x:c>
      <x:c r="K113" s="11" t="str">
        <x:v>Hanser Berlin</x:v>
      </x:c>
      <x:c r="L113" s="11" t="str">
        <x:v>2024-09-23</x:v>
      </x:c>
      <x:c r="M113" s="11" t="str">
        <x:v>978-3-446-28228-5</x:v>
      </x:c>
      <x:c r="N113" s="11" t="str">
        <x:v>No</x:v>
      </x:c>
      <x:c r="O113" s="11"/>
      <x:c r="P113" s="11" t="str">
        <x:v>No</x:v>
      </x:c>
      <x:c r="Q113" s="11" t="str">
        <x:v>Full verified</x:v>
      </x:c>
    </x:row>
    <x:row r="114">
      <x:c r="A114" s="11" t="str">
        <x:v>A Good Girl's Guide to Murder</x:v>
      </x:c>
      <x:c r="B114" s="11" t="str">
        <x:v>Holly Jackson</x:v>
      </x:c>
      <x:c r="C114" s="11" t="n">
        <x:f>COUNTIFS(Rankings_Master!$D$2:$D$788,A114,Rankings_Master!$E$2:$E$788,B114,Rankings_Master!$J$2:$J$788,"Yes")</x:f>
        <x:v>9</x:v>
      </x:c>
      <x:c r="D114" s="11" t="n">
        <x:f>IF(C114=0,"",MINIFS(Rankings_Master!$B$2:$B$788,Rankings_Master!$D$2:$D$788,A114,Rankings_Master!$E$2:$E$788,B114,Rankings_Master!$J$2:$J$788,"Yes"))</x:f>
        <x:v>2</x:v>
      </x:c>
      <x:c r="E114" s="14" t="n">
        <x:f>IF(C114=0,"",SUMIFS(Rankings_Master!$B$2:$B$788,Rankings_Master!$D$2:$D$788,A114,Rankings_Master!$E$2:$E$788,B114,Rankings_Master!$J$2:$J$788,"Yes")/C114)</x:f>
        <x:v>11.88888888888889</x:v>
      </x:c>
      <x:c r="F114" s="11" t="n">
        <x:f>IF(C114=0,"",MINIFS(Rankings_Master!$H$2:$H$788,Rankings_Master!$D$2:$D$788,A114,Rankings_Master!$E$2:$E$788,B114,Rankings_Master!$J$2:$J$788,"Yes"))</x:f>
        <x:v>202304</x:v>
      </x:c>
      <x:c r="G114" s="11" t="n">
        <x:f>IF(C114=0,"",MAXIFS(Rankings_Master!$H$2:$H$788,Rankings_Master!$D$2:$D$788,A114,Rankings_Master!$E$2:$E$788,B114,Rankings_Master!$J$2:$J$788,"Yes"))</x:f>
        <x:v>202502</x:v>
      </x:c>
      <x:c r="H114" s="11" t="str">
        <x:f>IF(C114=0,"Partial only",IF(C114&gt;=2,"Yes","No"))</x:f>
        <x:v>Yes</x:v>
      </x:c>
      <x:c r="I114" s="11" t="n">
        <x:f>IF(C114=0,"",INT(G114/100)-INT(F114/100)+1)</x:f>
        <x:v>3</x:v>
      </x:c>
      <x:c r="J114" s="11" t="str">
        <x:v>YA Thriller / Mystery</x:v>
      </x:c>
      <x:c r="K114" s="11" t="str">
        <x:v>ONE</x:v>
      </x:c>
      <x:c r="L114" s="11" t="str">
        <x:v>2022-10-28</x:v>
      </x:c>
      <x:c r="M114" s="11" t="str">
        <x:v>978-3-8466-0159-4</x:v>
      </x:c>
      <x:c r="N114" s="11" t="str">
        <x:v>Yes</x:v>
      </x:c>
      <x:c r="O114" s="11" t="n">
        <x:v>1</x:v>
      </x:c>
      <x:c r="P114" s="11" t="str">
        <x:v>No</x:v>
      </x:c>
      <x:c r="Q114" s="11" t="str">
        <x:v>Full verified</x:v>
      </x:c>
    </x:row>
    <x:row r="115">
      <x:c r="A115" s="11" t="str">
        <x:v>Not Quite Dead Yet</x:v>
      </x:c>
      <x:c r="B115" s="11" t="str">
        <x:v>Holly Jackson</x:v>
      </x:c>
      <x:c r="C115" s="11" t="n">
        <x:f>COUNTIFS(Rankings_Master!$D$2:$D$788,A115,Rankings_Master!$E$2:$E$788,B115,Rankings_Master!$J$2:$J$788,"Yes")</x:f>
        <x:v>2</x:v>
      </x:c>
      <x:c r="D115" s="11" t="n">
        <x:f>IF(C115=0,"",MINIFS(Rankings_Master!$B$2:$B$788,Rankings_Master!$D$2:$D$788,A115,Rankings_Master!$E$2:$E$788,B115,Rankings_Master!$J$2:$J$788,"Yes"))</x:f>
        <x:v>4</x:v>
      </x:c>
      <x:c r="E115" s="14" t="n">
        <x:f>IF(C115=0,"",SUMIFS(Rankings_Master!$B$2:$B$788,Rankings_Master!$D$2:$D$788,A115,Rankings_Master!$E$2:$E$788,B115,Rankings_Master!$J$2:$J$788,"Yes")/C115)</x:f>
        <x:v>5</x:v>
      </x:c>
      <x:c r="F115" s="11" t="n">
        <x:f>IF(C115=0,"",MINIFS(Rankings_Master!$H$2:$H$788,Rankings_Master!$D$2:$D$788,A115,Rankings_Master!$E$2:$E$788,B115,Rankings_Master!$J$2:$J$788,"Yes"))</x:f>
        <x:v>202507</x:v>
      </x:c>
      <x:c r="G115" s="11" t="n">
        <x:f>IF(C115=0,"",MAXIFS(Rankings_Master!$H$2:$H$788,Rankings_Master!$D$2:$D$788,A115,Rankings_Master!$E$2:$E$788,B115,Rankings_Master!$J$2:$J$788,"Yes"))</x:f>
        <x:v>202508</x:v>
      </x:c>
      <x:c r="H115" s="11" t="str">
        <x:f>IF(C115=0,"Partial only",IF(C115&gt;=2,"Yes","No"))</x:f>
        <x:v>Yes</x:v>
      </x:c>
      <x:c r="I115" s="11" t="n">
        <x:f>IF(C115=0,"",INT(G115/100)-INT(F115/100)+1)</x:f>
        <x:v>1</x:v>
      </x:c>
      <x:c r="J115" s="11" t="str">
        <x:v>Thriller / Mystery</x:v>
      </x:c>
      <x:c r="K115" s="11" t="str">
        <x:v>Penguin Books UK</x:v>
      </x:c>
      <x:c r="L115" s="11" t="str">
        <x:v>2025-07-17</x:v>
      </x:c>
      <x:c r="M115" s="11" t="str">
        <x:v>978-0-241-75368-2</x:v>
      </x:c>
      <x:c r="N115" s="11" t="str">
        <x:v>No</x:v>
      </x:c>
      <x:c r="O115" s="11"/>
      <x:c r="P115" s="11" t="str">
        <x:v>No</x:v>
      </x:c>
      <x:c r="Q115" s="11" t="str">
        <x:v>Edition ambiguous</x:v>
      </x:c>
    </x:row>
    <x:row r="116">
      <x:c r="A116" s="11" t="str">
        <x:v>Pupetta: Gute Mädchen gehorchen - Mit wunderschönem Farbschnitt</x:v>
      </x:c>
      <x:c r="B116" s="11" t="str">
        <x:v>Isabelle Herzog</x:v>
      </x:c>
      <x:c r="C116" s="11" t="n">
        <x:f>COUNTIFS(Rankings_Master!$D$2:$D$788,A116,Rankings_Master!$E$2:$E$788,B116,Rankings_Master!$J$2:$J$788,"Yes")</x:f>
        <x:v>2</x:v>
      </x:c>
      <x:c r="D116" s="11" t="n">
        <x:f>IF(C116=0,"",MINIFS(Rankings_Master!$B$2:$B$788,Rankings_Master!$D$2:$D$788,A116,Rankings_Master!$E$2:$E$788,B116,Rankings_Master!$J$2:$J$788,"Yes"))</x:f>
        <x:v>9</x:v>
      </x:c>
      <x:c r="E116" s="14" t="n">
        <x:f>IF(C116=0,"",SUMIFS(Rankings_Master!$B$2:$B$788,Rankings_Master!$D$2:$D$788,A116,Rankings_Master!$E$2:$E$788,B116,Rankings_Master!$J$2:$J$788,"Yes")/C116)</x:f>
        <x:v>14</x:v>
      </x:c>
      <x:c r="F116" s="11" t="n">
        <x:f>IF(C116=0,"",MINIFS(Rankings_Master!$H$2:$H$788,Rankings_Master!$D$2:$D$788,A116,Rankings_Master!$E$2:$E$788,B116,Rankings_Master!$J$2:$J$788,"Yes"))</x:f>
        <x:v>202408</x:v>
      </x:c>
      <x:c r="G116" s="11" t="n">
        <x:f>IF(C116=0,"",MAXIFS(Rankings_Master!$H$2:$H$788,Rankings_Master!$D$2:$D$788,A116,Rankings_Master!$E$2:$E$788,B116,Rankings_Master!$J$2:$J$788,"Yes"))</x:f>
        <x:v>202409</x:v>
      </x:c>
      <x:c r="H116" s="11" t="str">
        <x:f>IF(C116=0,"Partial only",IF(C116&gt;=2,"Yes","No"))</x:f>
        <x:v>Yes</x:v>
      </x:c>
      <x:c r="I116" s="11" t="n">
        <x:f>IF(C116=0,"",INT(G116/100)-INT(F116/100)+1)</x:f>
        <x:v>1</x:v>
      </x:c>
      <x:c r="J116" s="11" t="str">
        <x:v>Dark Romance</x:v>
      </x:c>
      <x:c r="K116" s="11" t="str">
        <x:v>Black Edition</x:v>
      </x:c>
      <x:c r="L116" s="11" t="str">
        <x:v>2024-08-15</x:v>
      </x:c>
      <x:c r="M116" s="11" t="str">
        <x:v>978-3-98942-630-6</x:v>
      </x:c>
      <x:c r="N116" s="11" t="str">
        <x:v>No</x:v>
      </x:c>
      <x:c r="O116" s="11"/>
      <x:c r="P116" s="11" t="str">
        <x:v>No</x:v>
      </x:c>
      <x:c r="Q116" s="11" t="str">
        <x:v>Full verified</x:v>
      </x:c>
    </x:row>
    <x:row r="117">
      <x:c r="A117" s="11" t="str">
        <x:v>Praeda</x:v>
      </x:c>
      <x:c r="B117" s="11" t="str">
        <x:v>Isabelle North</x:v>
      </x:c>
      <x:c r="C117" s="11" t="n">
        <x:f>COUNTIFS(Rankings_Master!$D$2:$D$788,A117,Rankings_Master!$E$2:$E$788,B117,Rankings_Master!$J$2:$J$788,"Yes")</x:f>
        <x:v>1</x:v>
      </x:c>
      <x:c r="D117" s="11" t="n">
        <x:f>IF(C117=0,"",MINIFS(Rankings_Master!$B$2:$B$788,Rankings_Master!$D$2:$D$788,A117,Rankings_Master!$E$2:$E$788,B117,Rankings_Master!$J$2:$J$788,"Yes"))</x:f>
        <x:v>6</x:v>
      </x:c>
      <x:c r="E117" s="14" t="n">
        <x:f>IF(C117=0,"",SUMIFS(Rankings_Master!$B$2:$B$788,Rankings_Master!$D$2:$D$788,A117,Rankings_Master!$E$2:$E$788,B117,Rankings_Master!$J$2:$J$788,"Yes")/C117)</x:f>
        <x:v>6</x:v>
      </x:c>
      <x:c r="F117" s="11" t="n">
        <x:f>IF(C117=0,"",MINIFS(Rankings_Master!$H$2:$H$788,Rankings_Master!$D$2:$D$788,A117,Rankings_Master!$E$2:$E$788,B117,Rankings_Master!$J$2:$J$788,"Yes"))</x:f>
        <x:v>202506</x:v>
      </x:c>
      <x:c r="G117" s="11" t="n">
        <x:f>IF(C117=0,"",MAXIFS(Rankings_Master!$H$2:$H$788,Rankings_Master!$D$2:$D$788,A117,Rankings_Master!$E$2:$E$788,B117,Rankings_Master!$J$2:$J$788,"Yes"))</x:f>
        <x:v>202506</x:v>
      </x:c>
      <x:c r="H117" s="11" t="str">
        <x:f>IF(C117=0,"Partial only",IF(C117&gt;=2,"Yes","No"))</x:f>
        <x:v>No</x:v>
      </x:c>
      <x:c r="I117" s="11" t="n">
        <x:f>IF(C117=0,"",INT(G117/100)-INT(F117/100)+1)</x:f>
        <x:v>1</x:v>
      </x:c>
      <x:c r="J117" s="11" t="str">
        <x:v>Fantasy / Romantasy</x:v>
      </x:c>
      <x:c r="K117" s="11" t="str">
        <x:v>Black Edition</x:v>
      </x:c>
      <x:c r="L117" s="11" t="str">
        <x:v>2025-06-17</x:v>
      </x:c>
      <x:c r="M117" s="11" t="str">
        <x:v>978-3-98942-709-9</x:v>
      </x:c>
      <x:c r="N117" s="11" t="str">
        <x:v>Yes</x:v>
      </x:c>
      <x:c r="O117" s="11" t="n">
        <x:v>2</x:v>
      </x:c>
      <x:c r="P117" s="11" t="str">
        <x:v>No</x:v>
      </x:c>
      <x:c r="Q117" s="11" t="str">
        <x:v>Full verified</x:v>
      </x:c>
    </x:row>
    <x:row r="118">
      <x:c r="A118" s="11" t="str">
        <x:v>Regents</x:v>
      </x:c>
      <x:c r="B118" s="11" t="str">
        <x:v>Isabelle North</x:v>
      </x:c>
      <x:c r="C118" s="11" t="n">
        <x:f>COUNTIFS(Rankings_Master!$D$2:$D$788,A118,Rankings_Master!$E$2:$E$788,B118,Rankings_Master!$J$2:$J$788,"Yes")</x:f>
        <x:v>1</x:v>
      </x:c>
      <x:c r="D118" s="11" t="n">
        <x:f>IF(C118=0,"",MINIFS(Rankings_Master!$B$2:$B$788,Rankings_Master!$D$2:$D$788,A118,Rankings_Master!$E$2:$E$788,B118,Rankings_Master!$J$2:$J$788,"Yes"))</x:f>
        <x:v>3</x:v>
      </x:c>
      <x:c r="E118" s="14" t="n">
        <x:f>IF(C118=0,"",SUMIFS(Rankings_Master!$B$2:$B$788,Rankings_Master!$D$2:$D$788,A118,Rankings_Master!$E$2:$E$788,B118,Rankings_Master!$J$2:$J$788,"Yes")/C118)</x:f>
        <x:v>3</x:v>
      </x:c>
      <x:c r="F118" s="11" t="n">
        <x:f>IF(C118=0,"",MINIFS(Rankings_Master!$H$2:$H$788,Rankings_Master!$D$2:$D$788,A118,Rankings_Master!$E$2:$E$788,B118,Rankings_Master!$J$2:$J$788,"Yes"))</x:f>
        <x:v>202412</x:v>
      </x:c>
      <x:c r="G118" s="11" t="n">
        <x:f>IF(C118=0,"",MAXIFS(Rankings_Master!$H$2:$H$788,Rankings_Master!$D$2:$D$788,A118,Rankings_Master!$E$2:$E$788,B118,Rankings_Master!$J$2:$J$788,"Yes"))</x:f>
        <x:v>202412</x:v>
      </x:c>
      <x:c r="H118" s="11" t="str">
        <x:f>IF(C118=0,"Partial only",IF(C118&gt;=2,"Yes","No"))</x:f>
        <x:v>No</x:v>
      </x:c>
      <x:c r="I118" s="11" t="n">
        <x:f>IF(C118=0,"",INT(G118/100)-INT(F118/100)+1)</x:f>
        <x:v>1</x:v>
      </x:c>
      <x:c r="J118" s="11" t="str">
        <x:v>Fantasy / Romantasy</x:v>
      </x:c>
      <x:c r="K118" s="11" t="str">
        <x:v>Black Edition</x:v>
      </x:c>
      <x:c r="L118" s="11" t="str">
        <x:v>2024-10-02</x:v>
      </x:c>
      <x:c r="M118" s="11" t="str">
        <x:v>978-3-98942-626-9</x:v>
      </x:c>
      <x:c r="N118" s="11" t="str">
        <x:v>Yes</x:v>
      </x:c>
      <x:c r="O118" s="11" t="n">
        <x:v>1</x:v>
      </x:c>
      <x:c r="P118" s="11" t="str">
        <x:v>No</x:v>
      </x:c>
      <x:c r="Q118" s="11" t="str">
        <x:v>Full verified</x:v>
      </x:c>
    </x:row>
    <x:row r="119">
      <x:c r="A119" s="11" t="str">
        <x:v>Blackened Blade 1: The Blackened Blade</x:v>
      </x:c>
      <x:c r="B119" s="11" t="str">
        <x:v>Isla Davon</x:v>
      </x:c>
      <x:c r="C119" s="11" t="n">
        <x:f>COUNTIFS(Rankings_Master!$D$2:$D$788,A119,Rankings_Master!$E$2:$E$788,B119,Rankings_Master!$J$2:$J$788,"Yes")</x:f>
        <x:v>1</x:v>
      </x:c>
      <x:c r="D119" s="11" t="n">
        <x:f>IF(C119=0,"",MINIFS(Rankings_Master!$B$2:$B$788,Rankings_Master!$D$2:$D$788,A119,Rankings_Master!$E$2:$E$788,B119,Rankings_Master!$J$2:$J$788,"Yes"))</x:f>
        <x:v>11</x:v>
      </x:c>
      <x:c r="E119" s="14" t="n">
        <x:f>IF(C119=0,"",SUMIFS(Rankings_Master!$B$2:$B$788,Rankings_Master!$D$2:$D$788,A119,Rankings_Master!$E$2:$E$788,B119,Rankings_Master!$J$2:$J$788,"Yes")/C119)</x:f>
        <x:v>11</x:v>
      </x:c>
      <x:c r="F119" s="11" t="n">
        <x:f>IF(C119=0,"",MINIFS(Rankings_Master!$H$2:$H$788,Rankings_Master!$D$2:$D$788,A119,Rankings_Master!$E$2:$E$788,B119,Rankings_Master!$J$2:$J$788,"Yes"))</x:f>
        <x:v>202508</x:v>
      </x:c>
      <x:c r="G119" s="11" t="n">
        <x:f>IF(C119=0,"",MAXIFS(Rankings_Master!$H$2:$H$788,Rankings_Master!$D$2:$D$788,A119,Rankings_Master!$E$2:$E$788,B119,Rankings_Master!$J$2:$J$788,"Yes"))</x:f>
        <x:v>202508</x:v>
      </x:c>
      <x:c r="H119" s="11" t="str">
        <x:f>IF(C119=0,"Partial only",IF(C119&gt;=2,"Yes","No"))</x:f>
        <x:v>No</x:v>
      </x:c>
      <x:c r="I119" s="11" t="n">
        <x:f>IF(C119=0,"",INT(G119/100)-INT(F119/100)+1)</x:f>
        <x:v>1</x:v>
      </x:c>
      <x:c r="J119" s="11" t="str">
        <x:v>Fantasy / Romantasy</x:v>
      </x:c>
      <x:c r="K119" s="11" t="str">
        <x:v>Carlsen</x:v>
      </x:c>
      <x:c r="L119" s="11" t="str">
        <x:v>2025-07-31</x:v>
      </x:c>
      <x:c r="M119" s="11" t="str">
        <x:v>978-3-551-58608-7</x:v>
      </x:c>
      <x:c r="N119" s="11" t="str">
        <x:v>Yes</x:v>
      </x:c>
      <x:c r="O119" s="11" t="n">
        <x:v>1</x:v>
      </x:c>
      <x:c r="P119" s="11" t="str">
        <x:v>No</x:v>
      </x:c>
      <x:c r="Q119" s="11" t="str">
        <x:v>Full verified</x:v>
      </x:c>
    </x:row>
    <x:row r="120">
      <x:c r="A120" s="11" t="str">
        <x:v>Where Autumn Leaves (Festival-Serie 4)</x:v>
      </x:c>
      <x:c r="B120" s="11" t="str">
        <x:v>Ivy Leagh</x:v>
      </x:c>
      <x:c r="C120" s="11" t="n">
        <x:f>COUNTIFS(Rankings_Master!$D$2:$D$788,A120,Rankings_Master!$E$2:$E$788,B120,Rankings_Master!$J$2:$J$788,"Yes")</x:f>
        <x:v>1</x:v>
      </x:c>
      <x:c r="D120" s="11" t="n">
        <x:f>IF(C120=0,"",MINIFS(Rankings_Master!$B$2:$B$788,Rankings_Master!$D$2:$D$788,A120,Rankings_Master!$E$2:$E$788,B120,Rankings_Master!$J$2:$J$788,"Yes"))</x:f>
        <x:v>15</x:v>
      </x:c>
      <x:c r="E120" s="14" t="n">
        <x:f>IF(C120=0,"",SUMIFS(Rankings_Master!$B$2:$B$788,Rankings_Master!$D$2:$D$788,A120,Rankings_Master!$E$2:$E$788,B120,Rankings_Master!$J$2:$J$788,"Yes")/C120)</x:f>
        <x:v>15</x:v>
      </x:c>
      <x:c r="F120" s="11" t="n">
        <x:f>IF(C120=0,"",MINIFS(Rankings_Master!$H$2:$H$788,Rankings_Master!$D$2:$D$788,A120,Rankings_Master!$E$2:$E$788,B120,Rankings_Master!$J$2:$J$788,"Yes"))</x:f>
        <x:v>202501</x:v>
      </x:c>
      <x:c r="G120" s="11" t="n">
        <x:f>IF(C120=0,"",MAXIFS(Rankings_Master!$H$2:$H$788,Rankings_Master!$D$2:$D$788,A120,Rankings_Master!$E$2:$E$788,B120,Rankings_Master!$J$2:$J$788,"Yes"))</x:f>
        <x:v>202501</x:v>
      </x:c>
      <x:c r="H120" s="11" t="str">
        <x:f>IF(C120=0,"Partial only",IF(C120&gt;=2,"Yes","No"))</x:f>
        <x:v>No</x:v>
      </x:c>
      <x:c r="I120" s="11" t="n">
        <x:f>IF(C120=0,"",INT(G120/100)-INT(F120/100)+1)</x:f>
        <x:v>1</x:v>
      </x:c>
      <x:c r="J120" s="11" t="str">
        <x:v>Romance / New Adult</x:v>
      </x:c>
      <x:c r="K120" s="11" t="str">
        <x:v>Carlsen</x:v>
      </x:c>
      <x:c r="L120" s="11" t="str">
        <x:v>2025-01-09</x:v>
      </x:c>
      <x:c r="M120" s="11" t="str">
        <x:v>978-3-551-58508-0</x:v>
      </x:c>
      <x:c r="N120" s="11" t="str">
        <x:v>Yes</x:v>
      </x:c>
      <x:c r="O120" s="11" t="n">
        <x:v>4</x:v>
      </x:c>
      <x:c r="P120" s="11" t="str">
        <x:v>No</x:v>
      </x:c>
      <x:c r="Q120" s="11" t="str">
        <x:v>Full verified</x:v>
      </x:c>
    </x:row>
    <x:row r="121">
      <x:c r="A121" s="11" t="str">
        <x:v>Bastards</x:v>
      </x:c>
      <x:c r="B121" s="11" t="str">
        <x:v>J. S. Wonda</x:v>
      </x:c>
      <x:c r="C121" s="11" t="n">
        <x:f>COUNTIFS(Rankings_Master!$D$2:$D$788,A121,Rankings_Master!$E$2:$E$788,B121,Rankings_Master!$J$2:$J$788,"Yes")</x:f>
        <x:v>2</x:v>
      </x:c>
      <x:c r="D121" s="11" t="n">
        <x:f>IF(C121=0,"",MINIFS(Rankings_Master!$B$2:$B$788,Rankings_Master!$D$2:$D$788,A121,Rankings_Master!$E$2:$E$788,B121,Rankings_Master!$J$2:$J$788,"Yes"))</x:f>
        <x:v>10</x:v>
      </x:c>
      <x:c r="E121" s="14" t="n">
        <x:f>IF(C121=0,"",SUMIFS(Rankings_Master!$B$2:$B$788,Rankings_Master!$D$2:$D$788,A121,Rankings_Master!$E$2:$E$788,B121,Rankings_Master!$J$2:$J$788,"Yes")/C121)</x:f>
        <x:v>11</x:v>
      </x:c>
      <x:c r="F121" s="11" t="n">
        <x:f>IF(C121=0,"",MINIFS(Rankings_Master!$H$2:$H$788,Rankings_Master!$D$2:$D$788,A121,Rankings_Master!$E$2:$E$788,B121,Rankings_Master!$J$2:$J$788,"Yes"))</x:f>
        <x:v>202308</x:v>
      </x:c>
      <x:c r="G121" s="11" t="n">
        <x:f>IF(C121=0,"",MAXIFS(Rankings_Master!$H$2:$H$788,Rankings_Master!$D$2:$D$788,A121,Rankings_Master!$E$2:$E$788,B121,Rankings_Master!$J$2:$J$788,"Yes"))</x:f>
        <x:v>202309</x:v>
      </x:c>
      <x:c r="H121" s="11" t="str">
        <x:f>IF(C121=0,"Partial only",IF(C121&gt;=2,"Yes","No"))</x:f>
        <x:v>Yes</x:v>
      </x:c>
      <x:c r="I121" s="11" t="n">
        <x:f>IF(C121=0,"",INT(G121/100)-INT(F121/100)+1)</x:f>
        <x:v>1</x:v>
      </x:c>
      <x:c r="J121" s="11" t="str">
        <x:v>Dark Romance</x:v>
      </x:c>
      <x:c r="K121" s="11" t="str">
        <x:v>WondaVersum / Nova MD</x:v>
      </x:c>
      <x:c r="L121" s="11" t="str">
        <x:v>2023-08-16</x:v>
      </x:c>
      <x:c r="M121" s="11" t="str">
        <x:v>978-3-98595-662-3</x:v>
      </x:c>
      <x:c r="N121" s="11"/>
      <x:c r="O121" s="11"/>
      <x:c r="P121" s="11" t="str">
        <x:v>Yes</x:v>
      </x:c>
      <x:c r="Q121" s="11" t="str">
        <x:v>Full verified</x:v>
      </x:c>
    </x:row>
    <x:row r="122">
      <x:c r="A122" s="11" t="str">
        <x:v>Catch the Billions, Baby!</x:v>
      </x:c>
      <x:c r="B122" s="11" t="str">
        <x:v>J. S. Wonda</x:v>
      </x:c>
      <x:c r="C122" s="11" t="n">
        <x:f>COUNTIFS(Rankings_Master!$D$2:$D$788,A122,Rankings_Master!$E$2:$E$788,B122,Rankings_Master!$J$2:$J$788,"Yes")</x:f>
        <x:v>1</x:v>
      </x:c>
      <x:c r="D122" s="11" t="n">
        <x:f>IF(C122=0,"",MINIFS(Rankings_Master!$B$2:$B$788,Rankings_Master!$D$2:$D$788,A122,Rankings_Master!$E$2:$E$788,B122,Rankings_Master!$J$2:$J$788,"Yes"))</x:f>
        <x:v>17</x:v>
      </x:c>
      <x:c r="E122" s="14" t="n">
        <x:f>IF(C122=0,"",SUMIFS(Rankings_Master!$B$2:$B$788,Rankings_Master!$D$2:$D$788,A122,Rankings_Master!$E$2:$E$788,B122,Rankings_Master!$J$2:$J$788,"Yes")/C122)</x:f>
        <x:v>17</x:v>
      </x:c>
      <x:c r="F122" s="11" t="n">
        <x:f>IF(C122=0,"",MINIFS(Rankings_Master!$H$2:$H$788,Rankings_Master!$D$2:$D$788,A122,Rankings_Master!$E$2:$E$788,B122,Rankings_Master!$J$2:$J$788,"Yes"))</x:f>
        <x:v>202307</x:v>
      </x:c>
      <x:c r="G122" s="11" t="n">
        <x:f>IF(C122=0,"",MAXIFS(Rankings_Master!$H$2:$H$788,Rankings_Master!$D$2:$D$788,A122,Rankings_Master!$E$2:$E$788,B122,Rankings_Master!$J$2:$J$788,"Yes"))</x:f>
        <x:v>202307</x:v>
      </x:c>
      <x:c r="H122" s="11" t="str">
        <x:f>IF(C122=0,"Partial only",IF(C122&gt;=2,"Yes","No"))</x:f>
        <x:v>No</x:v>
      </x:c>
      <x:c r="I122" s="11" t="n">
        <x:f>IF(C122=0,"",INT(G122/100)-INT(F122/100)+1)</x:f>
        <x:v>1</x:v>
      </x:c>
      <x:c r="J122" s="11" t="str">
        <x:v>Dark Romance</x:v>
      </x:c>
      <x:c r="K122" s="11" t="str">
        <x:v>WondaVersum</x:v>
      </x:c>
      <x:c r="L122" s="11" t="str">
        <x:v>2023-07-18</x:v>
      </x:c>
      <x:c r="M122" s="11" t="str">
        <x:v>978-3-98595-660-9</x:v>
      </x:c>
      <x:c r="N122" s="11"/>
      <x:c r="O122" s="11"/>
      <x:c r="P122" s="11" t="str">
        <x:v>Yes</x:v>
      </x:c>
      <x:c r="Q122" s="11" t="str">
        <x:v>Full verified</x:v>
      </x:c>
    </x:row>
    <x:row r="123">
      <x:c r="A123" s="11" t="str">
        <x:v>Dark Desire</x:v>
      </x:c>
      <x:c r="B123" s="11" t="str">
        <x:v>J. S. Wonda</x:v>
      </x:c>
      <x:c r="C123" s="11" t="n">
        <x:f>COUNTIFS(Rankings_Master!$D$2:$D$788,A123,Rankings_Master!$E$2:$E$788,B123,Rankings_Master!$J$2:$J$788,"Yes")</x:f>
        <x:v>1</x:v>
      </x:c>
      <x:c r="D123" s="11" t="n">
        <x:f>IF(C123=0,"",MINIFS(Rankings_Master!$B$2:$B$788,Rankings_Master!$D$2:$D$788,A123,Rankings_Master!$E$2:$E$788,B123,Rankings_Master!$J$2:$J$788,"Yes"))</x:f>
        <x:v>15</x:v>
      </x:c>
      <x:c r="E123" s="14" t="n">
        <x:f>IF(C123=0,"",SUMIFS(Rankings_Master!$B$2:$B$788,Rankings_Master!$D$2:$D$788,A123,Rankings_Master!$E$2:$E$788,B123,Rankings_Master!$J$2:$J$788,"Yes")/C123)</x:f>
        <x:v>15</x:v>
      </x:c>
      <x:c r="F123" s="11" t="n">
        <x:f>IF(C123=0,"",MINIFS(Rankings_Master!$H$2:$H$788,Rankings_Master!$D$2:$D$788,A123,Rankings_Master!$E$2:$E$788,B123,Rankings_Master!$J$2:$J$788,"Yes"))</x:f>
        <x:v>202407</x:v>
      </x:c>
      <x:c r="G123" s="11" t="n">
        <x:f>IF(C123=0,"",MAXIFS(Rankings_Master!$H$2:$H$788,Rankings_Master!$D$2:$D$788,A123,Rankings_Master!$E$2:$E$788,B123,Rankings_Master!$J$2:$J$788,"Yes"))</x:f>
        <x:v>202407</x:v>
      </x:c>
      <x:c r="H123" s="11" t="str">
        <x:f>IF(C123=0,"Partial only",IF(C123&gt;=2,"Yes","No"))</x:f>
        <x:v>No</x:v>
      </x:c>
      <x:c r="I123" s="11" t="n">
        <x:f>IF(C123=0,"",INT(G123/100)-INT(F123/100)+1)</x:f>
        <x:v>1</x:v>
      </x:c>
      <x:c r="J123" s="11" t="str">
        <x:v>Dark Romance</x:v>
      </x:c>
      <x:c r="K123" s="11" t="str">
        <x:v>WondaVersum / Nova MD</x:v>
      </x:c>
      <x:c r="L123" s="11" t="str">
        <x:v>2024-07-16</x:v>
      </x:c>
      <x:c r="M123" s="11" t="str">
        <x:v>978-3-9894261-9-1</x:v>
      </x:c>
      <x:c r="N123" s="11" t="str">
        <x:v>Yes</x:v>
      </x:c>
      <x:c r="O123" s="11"/>
      <x:c r="P123" s="11" t="str">
        <x:v>Yes</x:v>
      </x:c>
      <x:c r="Q123" s="11" t="str">
        <x:v>Full verified</x:v>
      </x:c>
    </x:row>
    <x:row r="124">
      <x:c r="A124" s="11" t="str">
        <x:v>Very Bad Elite</x:v>
      </x:c>
      <x:c r="B124" s="11" t="str">
        <x:v>J. S. Wonda</x:v>
      </x:c>
      <x:c r="C124" s="11" t="n">
        <x:f>COUNTIFS(Rankings_Master!$D$2:$D$788,A124,Rankings_Master!$E$2:$E$788,B124,Rankings_Master!$J$2:$J$788,"Yes")</x:f>
        <x:v>1</x:v>
      </x:c>
      <x:c r="D124" s="11" t="n">
        <x:f>IF(C124=0,"",MINIFS(Rankings_Master!$B$2:$B$788,Rankings_Master!$D$2:$D$788,A124,Rankings_Master!$E$2:$E$788,B124,Rankings_Master!$J$2:$J$788,"Yes"))</x:f>
        <x:v>19</x:v>
      </x:c>
      <x:c r="E124" s="14" t="n">
        <x:f>IF(C124=0,"",SUMIFS(Rankings_Master!$B$2:$B$788,Rankings_Master!$D$2:$D$788,A124,Rankings_Master!$E$2:$E$788,B124,Rankings_Master!$J$2:$J$788,"Yes")/C124)</x:f>
        <x:v>19</x:v>
      </x:c>
      <x:c r="F124" s="11" t="n">
        <x:f>IF(C124=0,"",MINIFS(Rankings_Master!$H$2:$H$788,Rankings_Master!$D$2:$D$788,A124,Rankings_Master!$E$2:$E$788,B124,Rankings_Master!$J$2:$J$788,"Yes"))</x:f>
        <x:v>202305</x:v>
      </x:c>
      <x:c r="G124" s="11" t="n">
        <x:f>IF(C124=0,"",MAXIFS(Rankings_Master!$H$2:$H$788,Rankings_Master!$D$2:$D$788,A124,Rankings_Master!$E$2:$E$788,B124,Rankings_Master!$J$2:$J$788,"Yes"))</x:f>
        <x:v>202305</x:v>
      </x:c>
      <x:c r="H124" s="11" t="str">
        <x:f>IF(C124=0,"Partial only",IF(C124&gt;=2,"Yes","No"))</x:f>
        <x:v>No</x:v>
      </x:c>
      <x:c r="I124" s="11" t="n">
        <x:f>IF(C124=0,"",INT(G124/100)-INT(F124/100)+1)</x:f>
        <x:v>1</x:v>
      </x:c>
      <x:c r="J124" s="11" t="str">
        <x:v>Dark Romance</x:v>
      </x:c>
      <x:c r="K124" s="11" t="str">
        <x:v>WondaVersum / Nova MD</x:v>
      </x:c>
      <x:c r="L124" s="11" t="str">
        <x:v>2023</x:v>
      </x:c>
      <x:c r="M124" s="11" t="str">
        <x:v>978-3-98595-460-5</x:v>
      </x:c>
      <x:c r="N124" s="11"/>
      <x:c r="O124" s="11"/>
      <x:c r="P124" s="11" t="str">
        <x:v>Yes</x:v>
      </x:c>
      <x:c r="Q124" s="11" t="str">
        <x:v>Full verified</x:v>
      </x:c>
    </x:row>
    <x:row r="125">
      <x:c r="A125" s="11" t="str">
        <x:v>Very Bad Kings</x:v>
      </x:c>
      <x:c r="B125" s="11" t="str">
        <x:v>J. S. Wonda</x:v>
      </x:c>
      <x:c r="C125" s="11" t="n">
        <x:f>COUNTIFS(Rankings_Master!$D$2:$D$788,A125,Rankings_Master!$E$2:$E$788,B125,Rankings_Master!$J$2:$J$788,"Yes")</x:f>
        <x:v>5</x:v>
      </x:c>
      <x:c r="D125" s="11" t="n">
        <x:f>IF(C125=0,"",MINIFS(Rankings_Master!$B$2:$B$788,Rankings_Master!$D$2:$D$788,A125,Rankings_Master!$E$2:$E$788,B125,Rankings_Master!$J$2:$J$788,"Yes"))</x:f>
        <x:v>6</x:v>
      </x:c>
      <x:c r="E125" s="14" t="n">
        <x:f>IF(C125=0,"",SUMIFS(Rankings_Master!$B$2:$B$788,Rankings_Master!$D$2:$D$788,A125,Rankings_Master!$E$2:$E$788,B125,Rankings_Master!$J$2:$J$788,"Yes")/C125)</x:f>
        <x:v>11.2</x:v>
      </x:c>
      <x:c r="F125" s="11" t="n">
        <x:f>IF(C125=0,"",MINIFS(Rankings_Master!$H$2:$H$788,Rankings_Master!$D$2:$D$788,A125,Rankings_Master!$E$2:$E$788,B125,Rankings_Master!$J$2:$J$788,"Yes"))</x:f>
        <x:v>202305</x:v>
      </x:c>
      <x:c r="G125" s="11" t="n">
        <x:f>IF(C125=0,"",MAXIFS(Rankings_Master!$H$2:$H$788,Rankings_Master!$D$2:$D$788,A125,Rankings_Master!$E$2:$E$788,B125,Rankings_Master!$J$2:$J$788,"Yes"))</x:f>
        <x:v>202405</x:v>
      </x:c>
      <x:c r="H125" s="11" t="str">
        <x:f>IF(C125=0,"Partial only",IF(C125&gt;=2,"Yes","No"))</x:f>
        <x:v>Yes</x:v>
      </x:c>
      <x:c r="I125" s="11" t="n">
        <x:f>IF(C125=0,"",INT(G125/100)-INT(F125/100)+1)</x:f>
        <x:v>2</x:v>
      </x:c>
      <x:c r="J125" s="11" t="str">
        <x:v>Dark Romance</x:v>
      </x:c>
      <x:c r="K125" s="11" t="str">
        <x:v>Nova MD / J. S. Wonda</x:v>
      </x:c>
      <x:c r="L125" s="11" t="str">
        <x:v>2021</x:v>
      </x:c>
      <x:c r="M125" s="11" t="str">
        <x:v>978-3-96966-516-9</x:v>
      </x:c>
      <x:c r="N125" s="11"/>
      <x:c r="O125" s="11"/>
      <x:c r="P125" s="11" t="str">
        <x:v>Yes</x:v>
      </x:c>
      <x:c r="Q125" s="11" t="str">
        <x:v>Full verified</x:v>
      </x:c>
    </x:row>
    <x:row r="126">
      <x:c r="A126" s="11" t="str">
        <x:v>Very Bad Queen</x:v>
      </x:c>
      <x:c r="B126" s="11" t="str">
        <x:v>J. S. Wonda</x:v>
      </x:c>
      <x:c r="C126" s="11" t="n">
        <x:f>COUNTIFS(Rankings_Master!$D$2:$D$788,A126,Rankings_Master!$E$2:$E$788,B126,Rankings_Master!$J$2:$J$788,"Yes")</x:f>
        <x:v>1</x:v>
      </x:c>
      <x:c r="D126" s="11" t="n">
        <x:f>IF(C126=0,"",MINIFS(Rankings_Master!$B$2:$B$788,Rankings_Master!$D$2:$D$788,A126,Rankings_Master!$E$2:$E$788,B126,Rankings_Master!$J$2:$J$788,"Yes"))</x:f>
        <x:v>8</x:v>
      </x:c>
      <x:c r="E126" s="14" t="n">
        <x:f>IF(C126=0,"",SUMIFS(Rankings_Master!$B$2:$B$788,Rankings_Master!$D$2:$D$788,A126,Rankings_Master!$E$2:$E$788,B126,Rankings_Master!$J$2:$J$788,"Yes")/C126)</x:f>
        <x:v>8</x:v>
      </x:c>
      <x:c r="F126" s="11" t="n">
        <x:f>IF(C126=0,"",MINIFS(Rankings_Master!$H$2:$H$788,Rankings_Master!$D$2:$D$788,A126,Rankings_Master!$E$2:$E$788,B126,Rankings_Master!$J$2:$J$788,"Yes"))</x:f>
        <x:v>202507</x:v>
      </x:c>
      <x:c r="G126" s="11" t="n">
        <x:f>IF(C126=0,"",MAXIFS(Rankings_Master!$H$2:$H$788,Rankings_Master!$D$2:$D$788,A126,Rankings_Master!$E$2:$E$788,B126,Rankings_Master!$J$2:$J$788,"Yes"))</x:f>
        <x:v>202507</x:v>
      </x:c>
      <x:c r="H126" s="11" t="str">
        <x:f>IF(C126=0,"Partial only",IF(C126&gt;=2,"Yes","No"))</x:f>
        <x:v>No</x:v>
      </x:c>
      <x:c r="I126" s="11" t="n">
        <x:f>IF(C126=0,"",INT(G126/100)-INT(F126/100)+1)</x:f>
        <x:v>1</x:v>
      </x:c>
      <x:c r="J126" s="11" t="str">
        <x:v>Dark Romance</x:v>
      </x:c>
      <x:c r="K126" s="11" t="str">
        <x:v>WondaVersum / Nova MD</x:v>
      </x:c>
      <x:c r="L126" s="11" t="str">
        <x:v>2025-07-01</x:v>
      </x:c>
      <x:c r="M126" s="11" t="str">
        <x:v>978-3-690-28297-0</x:v>
      </x:c>
      <x:c r="N126" s="11" t="str">
        <x:v>Yes</x:v>
      </x:c>
      <x:c r="O126" s="11"/>
      <x:c r="P126" s="11" t="str">
        <x:v>Yes</x:v>
      </x:c>
      <x:c r="Q126" s="11" t="str">
        <x:v>Full verified</x:v>
      </x:c>
    </x:row>
    <x:row r="127">
      <x:c r="A127" s="11" t="str">
        <x:v>Very Bad Revenge</x:v>
      </x:c>
      <x:c r="B127" s="11" t="str">
        <x:v>J. S. Wonda</x:v>
      </x:c>
      <x:c r="C127" s="11" t="n">
        <x:f>COUNTIFS(Rankings_Master!$D$2:$D$788,A127,Rankings_Master!$E$2:$E$788,B127,Rankings_Master!$J$2:$J$788,"Yes")</x:f>
        <x:v>2</x:v>
      </x:c>
      <x:c r="D127" s="11" t="n">
        <x:f>IF(C127=0,"",MINIFS(Rankings_Master!$B$2:$B$788,Rankings_Master!$D$2:$D$788,A127,Rankings_Master!$E$2:$E$788,B127,Rankings_Master!$J$2:$J$788,"Yes"))</x:f>
        <x:v>9</x:v>
      </x:c>
      <x:c r="E127" s="14" t="n">
        <x:f>IF(C127=0,"",SUMIFS(Rankings_Master!$B$2:$B$788,Rankings_Master!$D$2:$D$788,A127,Rankings_Master!$E$2:$E$788,B127,Rankings_Master!$J$2:$J$788,"Yes")/C127)</x:f>
        <x:v>12.5</x:v>
      </x:c>
      <x:c r="F127" s="11" t="n">
        <x:f>IF(C127=0,"",MINIFS(Rankings_Master!$H$2:$H$788,Rankings_Master!$D$2:$D$788,A127,Rankings_Master!$E$2:$E$788,B127,Rankings_Master!$J$2:$J$788,"Yes"))</x:f>
        <x:v>202401</x:v>
      </x:c>
      <x:c r="G127" s="11" t="n">
        <x:f>IF(C127=0,"",MAXIFS(Rankings_Master!$H$2:$H$788,Rankings_Master!$D$2:$D$788,A127,Rankings_Master!$E$2:$E$788,B127,Rankings_Master!$J$2:$J$788,"Yes"))</x:f>
        <x:v>202402</x:v>
      </x:c>
      <x:c r="H127" s="11" t="str">
        <x:f>IF(C127=0,"Partial only",IF(C127&gt;=2,"Yes","No"))</x:f>
        <x:v>Yes</x:v>
      </x:c>
      <x:c r="I127" s="11" t="n">
        <x:f>IF(C127=0,"",INT(G127/100)-INT(F127/100)+1)</x:f>
        <x:v>1</x:v>
      </x:c>
      <x:c r="J127" s="11" t="str">
        <x:v>Dark Romance</x:v>
      </x:c>
      <x:c r="K127" s="11" t="str">
        <x:v>WondaVersum / Nova MD</x:v>
      </x:c>
      <x:c r="L127" s="11" t="str">
        <x:v>2024-01-30</x:v>
      </x:c>
      <x:c r="M127" s="11" t="str">
        <x:v>978-3-9859546-0-5</x:v>
      </x:c>
      <x:c r="N127" s="11" t="str">
        <x:v>Yes</x:v>
      </x:c>
      <x:c r="O127" s="11"/>
      <x:c r="P127" s="11" t="str">
        <x:v>Yes</x:v>
      </x:c>
      <x:c r="Q127" s="11" t="str">
        <x:v>Full verified</x:v>
      </x:c>
    </x:row>
    <x:row r="128">
      <x:c r="A128" s="11" t="str">
        <x:v>Die 1%-Methode - Minimale Veränderung, maximale Wirkung</x:v>
      </x:c>
      <x:c r="B128" s="11" t="str">
        <x:v>James Clear</x:v>
      </x:c>
      <x:c r="C128" s="11" t="n">
        <x:f>COUNTIFS(Rankings_Master!$D$2:$D$788,A128,Rankings_Master!$E$2:$E$788,B128,Rankings_Master!$J$2:$J$788,"Yes")</x:f>
        <x:v>20</x:v>
      </x:c>
      <x:c r="D128" s="11" t="n">
        <x:f>IF(C128=0,"",MINIFS(Rankings_Master!$B$2:$B$788,Rankings_Master!$D$2:$D$788,A128,Rankings_Master!$E$2:$E$788,B128,Rankings_Master!$J$2:$J$788,"Yes"))</x:f>
        <x:v>1</x:v>
      </x:c>
      <x:c r="E128" s="14" t="n">
        <x:f>IF(C128=0,"",SUMIFS(Rankings_Master!$B$2:$B$788,Rankings_Master!$D$2:$D$788,A128,Rankings_Master!$E$2:$E$788,B128,Rankings_Master!$J$2:$J$788,"Yes")/C128)</x:f>
        <x:v>8.5</x:v>
      </x:c>
      <x:c r="F128" s="11" t="n">
        <x:f>IF(C128=0,"",MINIFS(Rankings_Master!$H$2:$H$788,Rankings_Master!$D$2:$D$788,A128,Rankings_Master!$E$2:$E$788,B128,Rankings_Master!$J$2:$J$788,"Yes"))</x:f>
        <x:v>202304</x:v>
      </x:c>
      <x:c r="G128" s="11" t="n">
        <x:f>IF(C128=0,"",MAXIFS(Rankings_Master!$H$2:$H$788,Rankings_Master!$D$2:$D$788,A128,Rankings_Master!$E$2:$E$788,B128,Rankings_Master!$J$2:$J$788,"Yes"))</x:f>
        <x:v>202601</x:v>
      </x:c>
      <x:c r="H128" s="11" t="str">
        <x:f>IF(C128=0,"Partial only",IF(C128&gt;=2,"Yes","No"))</x:f>
        <x:v>Yes</x:v>
      </x:c>
      <x:c r="I128" s="11" t="n">
        <x:f>IF(C128=0,"",INT(G128/100)-INT(F128/100)+1)</x:f>
        <x:v>4</x:v>
      </x:c>
      <x:c r="J128" s="11" t="str">
        <x:v>Self-Help / Psychology</x:v>
      </x:c>
      <x:c r="K128" s="11" t="str">
        <x:v>Goldmann</x:v>
      </x:c>
      <x:c r="L128" s="11" t="str">
        <x:v>2020-04-27</x:v>
      </x:c>
      <x:c r="M128" s="11" t="str">
        <x:v>978-3-442-17858-2</x:v>
      </x:c>
      <x:c r="N128" s="11" t="str">
        <x:v>No</x:v>
      </x:c>
      <x:c r="O128" s="11"/>
      <x:c r="P128" s="11" t="str">
        <x:v>No</x:v>
      </x:c>
      <x:c r="Q128" s="11" t="str">
        <x:v>Full verified</x:v>
      </x:c>
    </x:row>
    <x:row r="129">
      <x:c r="A129" s="11" t="str">
        <x:v>Jana, 39, ungeküsst</x:v>
      </x:c>
      <x:c r="B129" s="11" t="str">
        <x:v>Jana Crämer</x:v>
      </x:c>
      <x:c r="C129" s="11" t="n">
        <x:f>COUNTIFS(Rankings_Master!$D$2:$D$788,A129,Rankings_Master!$E$2:$E$788,B129,Rankings_Master!$J$2:$J$788,"Yes")</x:f>
        <x:v>1</x:v>
      </x:c>
      <x:c r="D129" s="11" t="n">
        <x:f>IF(C129=0,"",MINIFS(Rankings_Master!$B$2:$B$788,Rankings_Master!$D$2:$D$788,A129,Rankings_Master!$E$2:$E$788,B129,Rankings_Master!$J$2:$J$788,"Yes"))</x:f>
        <x:v>16</x:v>
      </x:c>
      <x:c r="E129" s="14" t="n">
        <x:f>IF(C129=0,"",SUMIFS(Rankings_Master!$B$2:$B$788,Rankings_Master!$D$2:$D$788,A129,Rankings_Master!$E$2:$E$788,B129,Rankings_Master!$J$2:$J$788,"Yes")/C129)</x:f>
        <x:v>16</x:v>
      </x:c>
      <x:c r="F129" s="11" t="n">
        <x:f>IF(C129=0,"",MINIFS(Rankings_Master!$H$2:$H$788,Rankings_Master!$D$2:$D$788,A129,Rankings_Master!$E$2:$E$788,B129,Rankings_Master!$J$2:$J$788,"Yes"))</x:f>
        <x:v>202304</x:v>
      </x:c>
      <x:c r="G129" s="11" t="n">
        <x:f>IF(C129=0,"",MAXIFS(Rankings_Master!$H$2:$H$788,Rankings_Master!$D$2:$D$788,A129,Rankings_Master!$E$2:$E$788,B129,Rankings_Master!$J$2:$J$788,"Yes"))</x:f>
        <x:v>202304</x:v>
      </x:c>
      <x:c r="H129" s="11" t="str">
        <x:f>IF(C129=0,"Partial only",IF(C129&gt;=2,"Yes","No"))</x:f>
        <x:v>No</x:v>
      </x:c>
      <x:c r="I129" s="11" t="n">
        <x:f>IF(C129=0,"",INT(G129/100)-INT(F129/100)+1)</x:f>
        <x:v>1</x:v>
      </x:c>
      <x:c r="J129" s="11" t="str">
        <x:v>Memoir / Nonfiction</x:v>
      </x:c>
      <x:c r="K129" s="11" t="str">
        <x:v>Knaur</x:v>
      </x:c>
      <x:c r="L129" s="11" t="str">
        <x:v>2023-04-03</x:v>
      </x:c>
      <x:c r="M129" s="11" t="str">
        <x:v>978-3-426-79174-5</x:v>
      </x:c>
      <x:c r="N129" s="11" t="str">
        <x:v>No</x:v>
      </x:c>
      <x:c r="O129" s="11"/>
      <x:c r="P129" s="11"/>
      <x:c r="Q129" s="11" t="str">
        <x:v>Full verified</x:v>
      </x:c>
    </x:row>
    <x:row r="130">
      <x:c r="A130" s="11" t="str">
        <x:v>Still Beating</x:v>
      </x:c>
      <x:c r="B130" s="11" t="str">
        <x:v>Jennifer Hartmann</x:v>
      </x:c>
      <x:c r="C130" s="11" t="n">
        <x:f>COUNTIFS(Rankings_Master!$D$2:$D$788,A130,Rankings_Master!$E$2:$E$788,B130,Rankings_Master!$J$2:$J$788,"Yes")</x:f>
        <x:v>1</x:v>
      </x:c>
      <x:c r="D130" s="11" t="n">
        <x:f>IF(C130=0,"",MINIFS(Rankings_Master!$B$2:$B$788,Rankings_Master!$D$2:$D$788,A130,Rankings_Master!$E$2:$E$788,B130,Rankings_Master!$J$2:$J$788,"Yes"))</x:f>
        <x:v>9</x:v>
      </x:c>
      <x:c r="E130" s="14" t="n">
        <x:f>IF(C130=0,"",SUMIFS(Rankings_Master!$B$2:$B$788,Rankings_Master!$D$2:$D$788,A130,Rankings_Master!$E$2:$E$788,B130,Rankings_Master!$J$2:$J$788,"Yes")/C130)</x:f>
        <x:v>9</x:v>
      </x:c>
      <x:c r="F130" s="11" t="n">
        <x:f>IF(C130=0,"",MINIFS(Rankings_Master!$H$2:$H$788,Rankings_Master!$D$2:$D$788,A130,Rankings_Master!$E$2:$E$788,B130,Rankings_Master!$J$2:$J$788,"Yes"))</x:f>
        <x:v>202607</x:v>
      </x:c>
      <x:c r="G130" s="11" t="n">
        <x:f>IF(C130=0,"",MAXIFS(Rankings_Master!$H$2:$H$788,Rankings_Master!$D$2:$D$788,A130,Rankings_Master!$E$2:$E$788,B130,Rankings_Master!$J$2:$J$788,"Yes"))</x:f>
        <x:v>202607</x:v>
      </x:c>
      <x:c r="H130" s="11" t="str">
        <x:f>IF(C130=0,"Partial only",IF(C130&gt;=2,"Yes","No"))</x:f>
        <x:v>No</x:v>
      </x:c>
      <x:c r="I130" s="11" t="n">
        <x:f>IF(C130=0,"",INT(G130/100)-INT(F130/100)+1)</x:f>
        <x:v>1</x:v>
      </x:c>
      <x:c r="J130" s="11" t="str">
        <x:v>Dark Romance / Thriller</x:v>
      </x:c>
      <x:c r="K130" s="11" t="str">
        <x:v>Blush Blanvalet</x:v>
      </x:c>
      <x:c r="L130" s="11" t="str">
        <x:v>2026-07-15</x:v>
      </x:c>
      <x:c r="M130" s="11" t="str">
        <x:v>978-3-7341-1512-7</x:v>
      </x:c>
      <x:c r="N130" s="11" t="str">
        <x:v>No</x:v>
      </x:c>
      <x:c r="O130" s="11"/>
      <x:c r="P130" s="11" t="str">
        <x:v>No</x:v>
      </x:c>
      <x:c r="Q130" s="11" t="str">
        <x:v>Full verified</x:v>
      </x:c>
    </x:row>
    <x:row r="131">
      <x:c r="A131" s="11" t="str">
        <x:v>The Brothers Hawthorne</x:v>
      </x:c>
      <x:c r="B131" s="11" t="str">
        <x:v>Jennifer Lynn Barnes</x:v>
      </x:c>
      <x:c r="C131" s="11" t="n">
        <x:f>COUNTIFS(Rankings_Master!$D$2:$D$788,A131,Rankings_Master!$E$2:$E$788,B131,Rankings_Master!$J$2:$J$788,"Yes")</x:f>
        <x:v>1</x:v>
      </x:c>
      <x:c r="D131" s="11" t="n">
        <x:f>IF(C131=0,"",MINIFS(Rankings_Master!$B$2:$B$788,Rankings_Master!$D$2:$D$788,A131,Rankings_Master!$E$2:$E$788,B131,Rankings_Master!$J$2:$J$788,"Yes"))</x:f>
        <x:v>15</x:v>
      </x:c>
      <x:c r="E131" s="14" t="n">
        <x:f>IF(C131=0,"",SUMIFS(Rankings_Master!$B$2:$B$788,Rankings_Master!$D$2:$D$788,A131,Rankings_Master!$E$2:$E$788,B131,Rankings_Master!$J$2:$J$788,"Yes")/C131)</x:f>
        <x:v>15</x:v>
      </x:c>
      <x:c r="F131" s="11" t="n">
        <x:f>IF(C131=0,"",MINIFS(Rankings_Master!$H$2:$H$788,Rankings_Master!$D$2:$D$788,A131,Rankings_Master!$E$2:$E$788,B131,Rankings_Master!$J$2:$J$788,"Yes"))</x:f>
        <x:v>202309</x:v>
      </x:c>
      <x:c r="G131" s="11" t="n">
        <x:f>IF(C131=0,"",MAXIFS(Rankings_Master!$H$2:$H$788,Rankings_Master!$D$2:$D$788,A131,Rankings_Master!$E$2:$E$788,B131,Rankings_Master!$J$2:$J$788,"Yes"))</x:f>
        <x:v>202309</x:v>
      </x:c>
      <x:c r="H131" s="11" t="str">
        <x:f>IF(C131=0,"Partial only",IF(C131&gt;=2,"Yes","No"))</x:f>
        <x:v>No</x:v>
      </x:c>
      <x:c r="I131" s="11" t="n">
        <x:f>IF(C131=0,"",INT(G131/100)-INT(F131/100)+1)</x:f>
        <x:v>1</x:v>
      </x:c>
      <x:c r="J131" s="11" t="str">
        <x:v>YA Mystery / Thriller</x:v>
      </x:c>
      <x:c r="K131" s="11" t="str">
        <x:v>cbt</x:v>
      </x:c>
      <x:c r="L131" s="11" t="str">
        <x:v>2023-09-13</x:v>
      </x:c>
      <x:c r="M131" s="11" t="str">
        <x:v>978-3-570-31604-7</x:v>
      </x:c>
      <x:c r="N131" s="11" t="str">
        <x:v>Yes</x:v>
      </x:c>
      <x:c r="O131" s="11" t="n">
        <x:v>4</x:v>
      </x:c>
      <x:c r="P131" s="11" t="str">
        <x:v>No</x:v>
      </x:c>
      <x:c r="Q131" s="11" t="str">
        <x:v>Full verified</x:v>
      </x:c>
    </x:row>
    <x:row r="132">
      <x:c r="A132" s="11" t="str">
        <x:v>Frankie - Unter Menschen</x:v>
      </x:c>
      <x:c r="B132" s="11" t="str">
        <x:v>Jochen Gutsch</x:v>
      </x:c>
      <x:c r="C132" s="11" t="n">
        <x:f>COUNTIFS(Rankings_Master!$D$2:$D$788,A132,Rankings_Master!$E$2:$E$788,B132,Rankings_Master!$J$2:$J$788,"Yes")</x:f>
        <x:v>1</x:v>
      </x:c>
      <x:c r="D132" s="11" t="n">
        <x:f>IF(C132=0,"",MINIFS(Rankings_Master!$B$2:$B$788,Rankings_Master!$D$2:$D$788,A132,Rankings_Master!$E$2:$E$788,B132,Rankings_Master!$J$2:$J$788,"Yes"))</x:f>
        <x:v>16</x:v>
      </x:c>
      <x:c r="E132" s="14" t="n">
        <x:f>IF(C132=0,"",SUMIFS(Rankings_Master!$B$2:$B$788,Rankings_Master!$D$2:$D$788,A132,Rankings_Master!$E$2:$E$788,B132,Rankings_Master!$J$2:$J$788,"Yes")/C132)</x:f>
        <x:v>16</x:v>
      </x:c>
      <x:c r="F132" s="11" t="n">
        <x:f>IF(C132=0,"",MINIFS(Rankings_Master!$H$2:$H$788,Rankings_Master!$D$2:$D$788,A132,Rankings_Master!$E$2:$E$788,B132,Rankings_Master!$J$2:$J$788,"Yes"))</x:f>
        <x:v>202603</x:v>
      </x:c>
      <x:c r="G132" s="11" t="n">
        <x:f>IF(C132=0,"",MAXIFS(Rankings_Master!$H$2:$H$788,Rankings_Master!$D$2:$D$788,A132,Rankings_Master!$E$2:$E$788,B132,Rankings_Master!$J$2:$J$788,"Yes"))</x:f>
        <x:v>202603</x:v>
      </x:c>
      <x:c r="H132" s="11" t="str">
        <x:f>IF(C132=0,"Partial only",IF(C132&gt;=2,"Yes","No"))</x:f>
        <x:v>No</x:v>
      </x:c>
      <x:c r="I132" s="11" t="n">
        <x:f>IF(C132=0,"",INT(G132/100)-INT(F132/100)+1)</x:f>
        <x:v>1</x:v>
      </x:c>
      <x:c r="J132" s="11" t="str">
        <x:v>Contemporary Fiction</x:v>
      </x:c>
      <x:c r="K132" s="11" t="str">
        <x:v>Penguin</x:v>
      </x:c>
      <x:c r="L132" s="11" t="str">
        <x:v>2026-03-11</x:v>
      </x:c>
      <x:c r="M132" s="11" t="str">
        <x:v>978-3-328-60381-8</x:v>
      </x:c>
      <x:c r="N132" s="11" t="str">
        <x:v>Yes</x:v>
      </x:c>
      <x:c r="O132" s="11" t="n">
        <x:v>2</x:v>
      </x:c>
      <x:c r="P132" s="11" t="str">
        <x:v>No</x:v>
      </x:c>
      <x:c r="Q132" s="11" t="str">
        <x:v>Full verified</x:v>
      </x:c>
    </x:row>
    <x:row r="133">
      <x:c r="A133" s="11" t="str">
        <x:v>Frankie</x:v>
      </x:c>
      <x:c r="B133" s="11" t="str">
        <x:v>Jochen Gutsch, Maxim Leo</x:v>
      </x:c>
      <x:c r="C133" s="11" t="n">
        <x:f>COUNTIFS(Rankings_Master!$D$2:$D$788,A133,Rankings_Master!$E$2:$E$788,B133,Rankings_Master!$J$2:$J$788,"Yes")</x:f>
        <x:v>11</x:v>
      </x:c>
      <x:c r="D133" s="11" t="n">
        <x:f>IF(C133=0,"",MINIFS(Rankings_Master!$B$2:$B$788,Rankings_Master!$D$2:$D$788,A133,Rankings_Master!$E$2:$E$788,B133,Rankings_Master!$J$2:$J$788,"Yes"))</x:f>
        <x:v>2</x:v>
      </x:c>
      <x:c r="E133" s="14" t="n">
        <x:f>IF(C133=0,"",SUMIFS(Rankings_Master!$B$2:$B$788,Rankings_Master!$D$2:$D$788,A133,Rankings_Master!$E$2:$E$788,B133,Rankings_Master!$J$2:$J$788,"Yes")/C133)</x:f>
        <x:v>6.545454545454546</x:v>
      </x:c>
      <x:c r="F133" s="11" t="n">
        <x:f>IF(C133=0,"",MINIFS(Rankings_Master!$H$2:$H$788,Rankings_Master!$D$2:$D$788,A133,Rankings_Master!$E$2:$E$788,B133,Rankings_Master!$J$2:$J$788,"Yes"))</x:f>
        <x:v>202503</x:v>
      </x:c>
      <x:c r="G133" s="11" t="n">
        <x:f>IF(C133=0,"",MAXIFS(Rankings_Master!$H$2:$H$788,Rankings_Master!$D$2:$D$788,A133,Rankings_Master!$E$2:$E$788,B133,Rankings_Master!$J$2:$J$788,"Yes"))</x:f>
        <x:v>202606</x:v>
      </x:c>
      <x:c r="H133" s="11" t="str">
        <x:f>IF(C133=0,"Partial only",IF(C133&gt;=2,"Yes","No"))</x:f>
        <x:v>Yes</x:v>
      </x:c>
      <x:c r="I133" s="11" t="n">
        <x:f>IF(C133=0,"",INT(G133/100)-INT(F133/100)+1)</x:f>
        <x:v>2</x:v>
      </x:c>
      <x:c r="J133" s="11" t="str">
        <x:v>Contemporary Fiction</x:v>
      </x:c>
      <x:c r="K133" s="11" t="str">
        <x:v>Penguin</x:v>
      </x:c>
      <x:c r="L133" s="11" t="str">
        <x:v>2025-03-12</x:v>
      </x:c>
      <x:c r="M133" s="11" t="str">
        <x:v>978-3-328-11220-4</x:v>
      </x:c>
      <x:c r="N133" s="11" t="str">
        <x:v>No</x:v>
      </x:c>
      <x:c r="O133" s="11"/>
      <x:c r="P133" s="11" t="str">
        <x:v>No</x:v>
      </x:c>
      <x:c r="Q133" s="11" t="str">
        <x:v>Full verified</x:v>
      </x:c>
    </x:row>
    <x:row r="134">
      <x:c r="A134" s="11" t="str">
        <x:v>Das Café am Rande der Welt</x:v>
      </x:c>
      <x:c r="B134" s="11" t="str">
        <x:v>John Strelecky</x:v>
      </x:c>
      <x:c r="C134" s="11" t="n">
        <x:f>COUNTIFS(Rankings_Master!$D$2:$D$788,A134,Rankings_Master!$E$2:$E$788,B134,Rankings_Master!$J$2:$J$788,"Yes")</x:f>
        <x:v>1</x:v>
      </x:c>
      <x:c r="D134" s="11" t="n">
        <x:f>IF(C134=0,"",MINIFS(Rankings_Master!$B$2:$B$788,Rankings_Master!$D$2:$D$788,A134,Rankings_Master!$E$2:$E$788,B134,Rankings_Master!$J$2:$J$788,"Yes"))</x:f>
        <x:v>18</x:v>
      </x:c>
      <x:c r="E134" s="14" t="n">
        <x:f>IF(C134=0,"",SUMIFS(Rankings_Master!$B$2:$B$788,Rankings_Master!$D$2:$D$788,A134,Rankings_Master!$E$2:$E$788,B134,Rankings_Master!$J$2:$J$788,"Yes")/C134)</x:f>
        <x:v>18</x:v>
      </x:c>
      <x:c r="F134" s="11" t="n">
        <x:f>IF(C134=0,"",MINIFS(Rankings_Master!$H$2:$H$788,Rankings_Master!$D$2:$D$788,A134,Rankings_Master!$E$2:$E$788,B134,Rankings_Master!$J$2:$J$788,"Yes"))</x:f>
        <x:v>202606</x:v>
      </x:c>
      <x:c r="G134" s="11" t="n">
        <x:f>IF(C134=0,"",MAXIFS(Rankings_Master!$H$2:$H$788,Rankings_Master!$D$2:$D$788,A134,Rankings_Master!$E$2:$E$788,B134,Rankings_Master!$J$2:$J$788,"Yes"))</x:f>
        <x:v>202606</x:v>
      </x:c>
      <x:c r="H134" s="11" t="str">
        <x:f>IF(C134=0,"Partial only",IF(C134&gt;=2,"Yes","No"))</x:f>
        <x:v>No</x:v>
      </x:c>
      <x:c r="I134" s="11" t="n">
        <x:f>IF(C134=0,"",INT(G134/100)-INT(F134/100)+1)</x:f>
        <x:v>1</x:v>
      </x:c>
      <x:c r="J134" s="11" t="str">
        <x:v>Inspirational Fiction / Self-Help</x:v>
      </x:c>
      <x:c r="K134" s="11" t="str">
        <x:v>dtv</x:v>
      </x:c>
      <x:c r="L134" s="11" t="str">
        <x:v>2007-02-01</x:v>
      </x:c>
      <x:c r="M134" s="11" t="str">
        <x:v>978-3-423-20969-4</x:v>
      </x:c>
      <x:c r="N134" s="11" t="str">
        <x:v>No</x:v>
      </x:c>
      <x:c r="O134" s="11"/>
      <x:c r="P134" s="11" t="str">
        <x:v>No</x:v>
      </x:c>
      <x:c r="Q134" s="11" t="str">
        <x:v>Full verified</x:v>
      </x:c>
    </x:row>
    <x:row r="135">
      <x:c r="A135" s="11" t="str">
        <x:v>The Big Five for Life</x:v>
      </x:c>
      <x:c r="B135" s="11" t="str">
        <x:v>John Strelecky</x:v>
      </x:c>
      <x:c r="C135" s="11" t="n">
        <x:f>COUNTIFS(Rankings_Master!$D$2:$D$788,A135,Rankings_Master!$E$2:$E$788,B135,Rankings_Master!$J$2:$J$788,"Yes")</x:f>
        <x:v>6</x:v>
      </x:c>
      <x:c r="D135" s="11" t="n">
        <x:f>IF(C135=0,"",MINIFS(Rankings_Master!$B$2:$B$788,Rankings_Master!$D$2:$D$788,A135,Rankings_Master!$E$2:$E$788,B135,Rankings_Master!$J$2:$J$788,"Yes"))</x:f>
        <x:v>10</x:v>
      </x:c>
      <x:c r="E135" s="14" t="n">
        <x:f>IF(C135=0,"",SUMIFS(Rankings_Master!$B$2:$B$788,Rankings_Master!$D$2:$D$788,A135,Rankings_Master!$E$2:$E$788,B135,Rankings_Master!$J$2:$J$788,"Yes")/C135)</x:f>
        <x:v>17.666666666666668</x:v>
      </x:c>
      <x:c r="F135" s="11" t="n">
        <x:f>IF(C135=0,"",MINIFS(Rankings_Master!$H$2:$H$788,Rankings_Master!$D$2:$D$788,A135,Rankings_Master!$E$2:$E$788,B135,Rankings_Master!$J$2:$J$788,"Yes"))</x:f>
        <x:v>202312</x:v>
      </x:c>
      <x:c r="G135" s="11" t="n">
        <x:f>IF(C135=0,"",MAXIFS(Rankings_Master!$H$2:$H$788,Rankings_Master!$D$2:$D$788,A135,Rankings_Master!$E$2:$E$788,B135,Rankings_Master!$J$2:$J$788,"Yes"))</x:f>
        <x:v>202502</x:v>
      </x:c>
      <x:c r="H135" s="11" t="str">
        <x:f>IF(C135=0,"Partial only",IF(C135&gt;=2,"Yes","No"))</x:f>
        <x:v>Yes</x:v>
      </x:c>
      <x:c r="I135" s="11" t="n">
        <x:f>IF(C135=0,"",INT(G135/100)-INT(F135/100)+1)</x:f>
        <x:v>3</x:v>
      </x:c>
      <x:c r="J135" s="11" t="str">
        <x:v>Self-Help / Business</x:v>
      </x:c>
      <x:c r="K135" s="11" t="str">
        <x:v>dtv</x:v>
      </x:c>
      <x:c r="L135" s="11" t="str">
        <x:v>2009-02-01</x:v>
      </x:c>
      <x:c r="M135" s="11" t="str">
        <x:v>978-3-423-34528-6</x:v>
      </x:c>
      <x:c r="N135" s="11" t="str">
        <x:v>No</x:v>
      </x:c>
      <x:c r="O135" s="11"/>
      <x:c r="P135" s="11" t="str">
        <x:v>No</x:v>
      </x:c>
      <x:c r="Q135" s="11" t="str">
        <x:v>Full verified</x:v>
      </x:c>
    </x:row>
    <x:row r="136">
      <x:c r="A136" s="11" t="str">
        <x:v>Zeit für Fragen im Café am Rande der Welt</x:v>
      </x:c>
      <x:c r="B136" s="11" t="str">
        <x:v>John Strelecky</x:v>
      </x:c>
      <x:c r="C136" s="11" t="n">
        <x:f>COUNTIFS(Rankings_Master!$D$2:$D$788,A136,Rankings_Master!$E$2:$E$788,B136,Rankings_Master!$J$2:$J$788,"Yes")</x:f>
        <x:v>1</x:v>
      </x:c>
      <x:c r="D136" s="11" t="n">
        <x:f>IF(C136=0,"",MINIFS(Rankings_Master!$B$2:$B$788,Rankings_Master!$D$2:$D$788,A136,Rankings_Master!$E$2:$E$788,B136,Rankings_Master!$J$2:$J$788,"Yes"))</x:f>
        <x:v>8</x:v>
      </x:c>
      <x:c r="E136" s="14" t="n">
        <x:f>IF(C136=0,"",SUMIFS(Rankings_Master!$B$2:$B$788,Rankings_Master!$D$2:$D$788,A136,Rankings_Master!$E$2:$E$788,B136,Rankings_Master!$J$2:$J$788,"Yes")/C136)</x:f>
        <x:v>8</x:v>
      </x:c>
      <x:c r="F136" s="11" t="n">
        <x:f>IF(C136=0,"",MINIFS(Rankings_Master!$H$2:$H$788,Rankings_Master!$D$2:$D$788,A136,Rankings_Master!$E$2:$E$788,B136,Rankings_Master!$J$2:$J$788,"Yes"))</x:f>
        <x:v>202410</x:v>
      </x:c>
      <x:c r="G136" s="11" t="n">
        <x:f>IF(C136=0,"",MAXIFS(Rankings_Master!$H$2:$H$788,Rankings_Master!$D$2:$D$788,A136,Rankings_Master!$E$2:$E$788,B136,Rankings_Master!$J$2:$J$788,"Yes"))</x:f>
        <x:v>202410</x:v>
      </x:c>
      <x:c r="H136" s="11" t="str">
        <x:f>IF(C136=0,"Partial only",IF(C136&gt;=2,"Yes","No"))</x:f>
        <x:v>No</x:v>
      </x:c>
      <x:c r="I136" s="11" t="n">
        <x:f>IF(C136=0,"",INT(G136/100)-INT(F136/100)+1)</x:f>
        <x:v>1</x:v>
      </x:c>
      <x:c r="J136" s="11" t="str">
        <x:v>Self-Help / Psychology</x:v>
      </x:c>
      <x:c r="K136" s="11" t="str">
        <x:v>dtv</x:v>
      </x:c>
      <x:c r="L136" s="11" t="str">
        <x:v>2024-10-17</x:v>
      </x:c>
      <x:c r="M136" s="11" t="str">
        <x:v>978-3-423-26407-5</x:v>
      </x:c>
      <x:c r="N136" s="11" t="str">
        <x:v>No</x:v>
      </x:c>
      <x:c r="O136" s="11"/>
      <x:c r="P136" s="11" t="str">
        <x:v>No</x:v>
      </x:c>
      <x:c r="Q136" s="11" t="str">
        <x:v>Full verified</x:v>
      </x:c>
    </x:row>
    <x:row r="137">
      <x:c r="A137" s="11" t="str">
        <x:v>Zwischen Ende und Anfang</x:v>
      </x:c>
      <x:c r="B137" s="11" t="str">
        <x:v>Jojo Moyes</x:v>
      </x:c>
      <x:c r="C137" s="11" t="n">
        <x:f>COUNTIFS(Rankings_Master!$D$2:$D$788,A137,Rankings_Master!$E$2:$E$788,B137,Rankings_Master!$J$2:$J$788,"Yes")</x:f>
        <x:v>1</x:v>
      </x:c>
      <x:c r="D137" s="11" t="n">
        <x:f>IF(C137=0,"",MINIFS(Rankings_Master!$B$2:$B$788,Rankings_Master!$D$2:$D$788,A137,Rankings_Master!$E$2:$E$788,B137,Rankings_Master!$J$2:$J$788,"Yes"))</x:f>
        <x:v>14</x:v>
      </x:c>
      <x:c r="E137" s="14" t="n">
        <x:f>IF(C137=0,"",SUMIFS(Rankings_Master!$B$2:$B$788,Rankings_Master!$D$2:$D$788,A137,Rankings_Master!$E$2:$E$788,B137,Rankings_Master!$J$2:$J$788,"Yes")/C137)</x:f>
        <x:v>14</x:v>
      </x:c>
      <x:c r="F137" s="11" t="n">
        <x:f>IF(C137=0,"",MINIFS(Rankings_Master!$H$2:$H$788,Rankings_Master!$D$2:$D$788,A137,Rankings_Master!$E$2:$E$788,B137,Rankings_Master!$J$2:$J$788,"Yes"))</x:f>
        <x:v>202605</x:v>
      </x:c>
      <x:c r="G137" s="11" t="n">
        <x:f>IF(C137=0,"",MAXIFS(Rankings_Master!$H$2:$H$788,Rankings_Master!$D$2:$D$788,A137,Rankings_Master!$E$2:$E$788,B137,Rankings_Master!$J$2:$J$788,"Yes"))</x:f>
        <x:v>202605</x:v>
      </x:c>
      <x:c r="H137" s="11" t="str">
        <x:f>IF(C137=0,"Partial only",IF(C137&gt;=2,"Yes","No"))</x:f>
        <x:v>No</x:v>
      </x:c>
      <x:c r="I137" s="11" t="n">
        <x:f>IF(C137=0,"",INT(G137/100)-INT(F137/100)+1)</x:f>
        <x:v>1</x:v>
      </x:c>
      <x:c r="J137" s="11" t="str">
        <x:v>Contemporary Fiction</x:v>
      </x:c>
      <x:c r="K137" s="11" t="str">
        <x:v>Rowohlt Taschenbuch</x:v>
      </x:c>
      <x:c r="L137" s="11" t="str">
        <x:v>2026-04-17</x:v>
      </x:c>
      <x:c r="M137" s="11" t="str">
        <x:v>978-3-499-01444-4</x:v>
      </x:c>
      <x:c r="N137" s="11" t="str">
        <x:v>No</x:v>
      </x:c>
      <x:c r="O137" s="11"/>
      <x:c r="P137" s="11" t="str">
        <x:v>No</x:v>
      </x:c>
      <x:c r="Q137" s="11" t="str">
        <x:v>Full verified</x:v>
      </x:c>
    </x:row>
    <x:row r="138">
      <x:c r="A138" s="11" t="str">
        <x:v>Wandering Hearts</x:v>
      </x:c>
      <x:c r="B138" s="11" t="str">
        <x:v>Josi Wismar</x:v>
      </x:c>
      <x:c r="C138" s="11" t="n">
        <x:f>COUNTIFS(Rankings_Master!$D$2:$D$788,A138,Rankings_Master!$E$2:$E$788,B138,Rankings_Master!$J$2:$J$788,"Yes")</x:f>
        <x:v>1</x:v>
      </x:c>
      <x:c r="D138" s="11" t="n">
        <x:f>IF(C138=0,"",MINIFS(Rankings_Master!$B$2:$B$788,Rankings_Master!$D$2:$D$788,A138,Rankings_Master!$E$2:$E$788,B138,Rankings_Master!$J$2:$J$788,"Yes"))</x:f>
        <x:v>19</x:v>
      </x:c>
      <x:c r="E138" s="14" t="n">
        <x:f>IF(C138=0,"",SUMIFS(Rankings_Master!$B$2:$B$788,Rankings_Master!$D$2:$D$788,A138,Rankings_Master!$E$2:$E$788,B138,Rankings_Master!$J$2:$J$788,"Yes")/C138)</x:f>
        <x:v>19</x:v>
      </x:c>
      <x:c r="F138" s="11" t="n">
        <x:f>IF(C138=0,"",MINIFS(Rankings_Master!$H$2:$H$788,Rankings_Master!$D$2:$D$788,A138,Rankings_Master!$E$2:$E$788,B138,Rankings_Master!$J$2:$J$788,"Yes"))</x:f>
        <x:v>202407</x:v>
      </x:c>
      <x:c r="G138" s="11" t="n">
        <x:f>IF(C138=0,"",MAXIFS(Rankings_Master!$H$2:$H$788,Rankings_Master!$D$2:$D$788,A138,Rankings_Master!$E$2:$E$788,B138,Rankings_Master!$J$2:$J$788,"Yes"))</x:f>
        <x:v>202407</x:v>
      </x:c>
      <x:c r="H138" s="11" t="str">
        <x:f>IF(C138=0,"Partial only",IF(C138&gt;=2,"Yes","No"))</x:f>
        <x:v>No</x:v>
      </x:c>
      <x:c r="I138" s="11" t="n">
        <x:f>IF(C138=0,"",INT(G138/100)-INT(F138/100)+1)</x:f>
        <x:v>1</x:v>
      </x:c>
      <x:c r="J138" s="11" t="str">
        <x:v>Romance / New Adult</x:v>
      </x:c>
      <x:c r="K138" s="11" t="str">
        <x:v>Heyne</x:v>
      </x:c>
      <x:c r="L138" s="11" t="str">
        <x:v>2024-07-10</x:v>
      </x:c>
      <x:c r="M138" s="11" t="str">
        <x:v>978-3-453-42761-7</x:v>
      </x:c>
      <x:c r="N138" s="11" t="str">
        <x:v>Yes</x:v>
      </x:c>
      <x:c r="O138" s="11" t="n">
        <x:v>1</x:v>
      </x:c>
      <x:c r="P138" s="11" t="str">
        <x:v>No</x:v>
      </x:c>
      <x:c r="Q138" s="11" t="str">
        <x:v>Full verified</x:v>
      </x:c>
    </x:row>
    <x:row r="139">
      <x:c r="A139" s="11" t="str">
        <x:v>Die Sonnenfeuer-Ballade 1: A Song to Raise a Storm</x:v>
      </x:c>
      <x:c r="B139" s="11" t="str">
        <x:v>Julia Dippel</x:v>
      </x:c>
      <x:c r="C139" s="11" t="n">
        <x:f>COUNTIFS(Rankings_Master!$D$2:$D$788,A139,Rankings_Master!$E$2:$E$788,B139,Rankings_Master!$J$2:$J$788,"Yes")</x:f>
        <x:v>1</x:v>
      </x:c>
      <x:c r="D139" s="11" t="n">
        <x:f>IF(C139=0,"",MINIFS(Rankings_Master!$B$2:$B$788,Rankings_Master!$D$2:$D$788,A139,Rankings_Master!$E$2:$E$788,B139,Rankings_Master!$J$2:$J$788,"Yes"))</x:f>
        <x:v>20</x:v>
      </x:c>
      <x:c r="E139" s="14" t="n">
        <x:f>IF(C139=0,"",SUMIFS(Rankings_Master!$B$2:$B$788,Rankings_Master!$D$2:$D$788,A139,Rankings_Master!$E$2:$E$788,B139,Rankings_Master!$J$2:$J$788,"Yes")/C139)</x:f>
        <x:v>20</x:v>
      </x:c>
      <x:c r="F139" s="11" t="n">
        <x:f>IF(C139=0,"",MINIFS(Rankings_Master!$H$2:$H$788,Rankings_Master!$D$2:$D$788,A139,Rankings_Master!$E$2:$E$788,B139,Rankings_Master!$J$2:$J$788,"Yes"))</x:f>
        <x:v>202310</x:v>
      </x:c>
      <x:c r="G139" s="11" t="n">
        <x:f>IF(C139=0,"",MAXIFS(Rankings_Master!$H$2:$H$788,Rankings_Master!$D$2:$D$788,A139,Rankings_Master!$E$2:$E$788,B139,Rankings_Master!$J$2:$J$788,"Yes"))</x:f>
        <x:v>202310</x:v>
      </x:c>
      <x:c r="H139" s="11" t="str">
        <x:f>IF(C139=0,"Partial only",IF(C139&gt;=2,"Yes","No"))</x:f>
        <x:v>No</x:v>
      </x:c>
      <x:c r="I139" s="11" t="n">
        <x:f>IF(C139=0,"",INT(G139/100)-INT(F139/100)+1)</x:f>
        <x:v>1</x:v>
      </x:c>
      <x:c r="J139" s="11" t="str">
        <x:v>Fantasy / Romantasy</x:v>
      </x:c>
      <x:c r="K139" s="11" t="str">
        <x:v>Planet! / Thienemann-Esslinger</x:v>
      </x:c>
      <x:c r="L139" s="11" t="str">
        <x:v>2023-10-09</x:v>
      </x:c>
      <x:c r="M139" s="11" t="str">
        <x:v>978-3-522-65544-6</x:v>
      </x:c>
      <x:c r="N139" s="11" t="str">
        <x:v>Yes</x:v>
      </x:c>
      <x:c r="O139" s="11" t="n">
        <x:v>1</x:v>
      </x:c>
      <x:c r="P139" s="11" t="str">
        <x:v>No</x:v>
      </x:c>
      <x:c r="Q139" s="11" t="str">
        <x:v>Full verified</x:v>
      </x:c>
    </x:row>
    <x:row r="140">
      <x:c r="A140" s="11" t="str">
        <x:v>Dark Elite - Regrets</x:v>
      </x:c>
      <x:c r="B140" s="11" t="str">
        <x:v>Julia Hausburg</x:v>
      </x:c>
      <x:c r="C140" s="11" t="n">
        <x:f>COUNTIFS(Rankings_Master!$D$2:$D$788,A140,Rankings_Master!$E$2:$E$788,B140,Rankings_Master!$J$2:$J$788,"Yes")</x:f>
        <x:v>1</x:v>
      </x:c>
      <x:c r="D140" s="11" t="n">
        <x:f>IF(C140=0,"",MINIFS(Rankings_Master!$B$2:$B$788,Rankings_Master!$D$2:$D$788,A140,Rankings_Master!$E$2:$E$788,B140,Rankings_Master!$J$2:$J$788,"Yes"))</x:f>
        <x:v>17</x:v>
      </x:c>
      <x:c r="E140" s="14" t="n">
        <x:f>IF(C140=0,"",SUMIFS(Rankings_Master!$B$2:$B$788,Rankings_Master!$D$2:$D$788,A140,Rankings_Master!$E$2:$E$788,B140,Rankings_Master!$J$2:$J$788,"Yes")/C140)</x:f>
        <x:v>17</x:v>
      </x:c>
      <x:c r="F140" s="11" t="n">
        <x:f>IF(C140=0,"",MINIFS(Rankings_Master!$H$2:$H$788,Rankings_Master!$D$2:$D$788,A140,Rankings_Master!$E$2:$E$788,B140,Rankings_Master!$J$2:$J$788,"Yes"))</x:f>
        <x:v>202402</x:v>
      </x:c>
      <x:c r="G140" s="11" t="n">
        <x:f>IF(C140=0,"",MAXIFS(Rankings_Master!$H$2:$H$788,Rankings_Master!$D$2:$D$788,A140,Rankings_Master!$E$2:$E$788,B140,Rankings_Master!$J$2:$J$788,"Yes"))</x:f>
        <x:v>202402</x:v>
      </x:c>
      <x:c r="H140" s="11" t="str">
        <x:f>IF(C140=0,"Partial only",IF(C140&gt;=2,"Yes","No"))</x:f>
        <x:v>No</x:v>
      </x:c>
      <x:c r="I140" s="11" t="n">
        <x:f>IF(C140=0,"",INT(G140/100)-INT(F140/100)+1)</x:f>
        <x:v>1</x:v>
      </x:c>
      <x:c r="J140" s="11" t="str">
        <x:v>Romance / New Adult</x:v>
      </x:c>
      <x:c r="K140" s="11" t="str">
        <x:v>Heyne</x:v>
      </x:c>
      <x:c r="L140" s="11" t="str">
        <x:v>2024-02-14</x:v>
      </x:c>
      <x:c r="M140" s="11" t="str">
        <x:v>978-3-453-42861-4</x:v>
      </x:c>
      <x:c r="N140" s="11" t="str">
        <x:v>Yes</x:v>
      </x:c>
      <x:c r="O140" s="11" t="n">
        <x:v>2</x:v>
      </x:c>
      <x:c r="P140" s="11" t="str">
        <x:v>No</x:v>
      </x:c>
      <x:c r="Q140" s="11" t="str">
        <x:v>Full verified</x:v>
      </x:c>
    </x:row>
    <x:row r="141">
      <x:c r="A141" s="11" t="str">
        <x:v>Dark Elite - Revenge</x:v>
      </x:c>
      <x:c r="B141" s="11" t="str">
        <x:v>Julia Hausburg</x:v>
      </x:c>
      <x:c r="C141" s="11" t="n">
        <x:f>COUNTIFS(Rankings_Master!$D$2:$D$788,A141,Rankings_Master!$E$2:$E$788,B141,Rankings_Master!$J$2:$J$788,"Yes")</x:f>
        <x:v>1</x:v>
      </x:c>
      <x:c r="D141" s="11" t="n">
        <x:f>IF(C141=0,"",MINIFS(Rankings_Master!$B$2:$B$788,Rankings_Master!$D$2:$D$788,A141,Rankings_Master!$E$2:$E$788,B141,Rankings_Master!$J$2:$J$788,"Yes"))</x:f>
        <x:v>12</x:v>
      </x:c>
      <x:c r="E141" s="14" t="n">
        <x:f>IF(C141=0,"",SUMIFS(Rankings_Master!$B$2:$B$788,Rankings_Master!$D$2:$D$788,A141,Rankings_Master!$E$2:$E$788,B141,Rankings_Master!$J$2:$J$788,"Yes")/C141)</x:f>
        <x:v>12</x:v>
      </x:c>
      <x:c r="F141" s="11" t="n">
        <x:f>IF(C141=0,"",MINIFS(Rankings_Master!$H$2:$H$788,Rankings_Master!$D$2:$D$788,A141,Rankings_Master!$E$2:$E$788,B141,Rankings_Master!$J$2:$J$788,"Yes"))</x:f>
        <x:v>202310</x:v>
      </x:c>
      <x:c r="G141" s="11" t="n">
        <x:f>IF(C141=0,"",MAXIFS(Rankings_Master!$H$2:$H$788,Rankings_Master!$D$2:$D$788,A141,Rankings_Master!$E$2:$E$788,B141,Rankings_Master!$J$2:$J$788,"Yes"))</x:f>
        <x:v>202310</x:v>
      </x:c>
      <x:c r="H141" s="11" t="str">
        <x:f>IF(C141=0,"Partial only",IF(C141&gt;=2,"Yes","No"))</x:f>
        <x:v>No</x:v>
      </x:c>
      <x:c r="I141" s="11" t="n">
        <x:f>IF(C141=0,"",INT(G141/100)-INT(F141/100)+1)</x:f>
        <x:v>1</x:v>
      </x:c>
      <x:c r="J141" s="11" t="str">
        <x:v>Romance / New Adult</x:v>
      </x:c>
      <x:c r="K141" s="11" t="str">
        <x:v>Heyne</x:v>
      </x:c>
      <x:c r="L141" s="11" t="str">
        <x:v>2023-10-11</x:v>
      </x:c>
      <x:c r="M141" s="11" t="str">
        <x:v>978-3-453-42860-7</x:v>
      </x:c>
      <x:c r="N141" s="11" t="str">
        <x:v>Yes</x:v>
      </x:c>
      <x:c r="O141" s="11" t="n">
        <x:v>1</x:v>
      </x:c>
      <x:c r="P141" s="11" t="str">
        <x:v>No</x:v>
      </x:c>
      <x:c r="Q141" s="11" t="str">
        <x:v>Full verified</x:v>
      </x:c>
    </x:row>
    <x:row r="142">
      <x:c r="A142" s="11" t="str">
        <x:v>Villains Are Made (1). Der Fluch der Medusa</x:v>
      </x:c>
      <x:c r="B142" s="11" t="str">
        <x:v>Julia Holz</x:v>
      </x:c>
      <x:c r="C142" s="11" t="n">
        <x:f>COUNTIFS(Rankings_Master!$D$2:$D$788,A142,Rankings_Master!$E$2:$E$788,B142,Rankings_Master!$J$2:$J$788,"Yes")</x:f>
        <x:v>1</x:v>
      </x:c>
      <x:c r="D142" s="11" t="n">
        <x:f>IF(C142=0,"",MINIFS(Rankings_Master!$B$2:$B$788,Rankings_Master!$D$2:$D$788,A142,Rankings_Master!$E$2:$E$788,B142,Rankings_Master!$J$2:$J$788,"Yes"))</x:f>
        <x:v>7</x:v>
      </x:c>
      <x:c r="E142" s="14" t="n">
        <x:f>IF(C142=0,"",SUMIFS(Rankings_Master!$B$2:$B$788,Rankings_Master!$D$2:$D$788,A142,Rankings_Master!$E$2:$E$788,B142,Rankings_Master!$J$2:$J$788,"Yes")/C142)</x:f>
        <x:v>7</x:v>
      </x:c>
      <x:c r="F142" s="11" t="n">
        <x:f>IF(C142=0,"",MINIFS(Rankings_Master!$H$2:$H$788,Rankings_Master!$D$2:$D$788,A142,Rankings_Master!$E$2:$E$788,B142,Rankings_Master!$J$2:$J$788,"Yes"))</x:f>
        <x:v>202603</x:v>
      </x:c>
      <x:c r="G142" s="11" t="n">
        <x:f>IF(C142=0,"",MAXIFS(Rankings_Master!$H$2:$H$788,Rankings_Master!$D$2:$D$788,A142,Rankings_Master!$E$2:$E$788,B142,Rankings_Master!$J$2:$J$788,"Yes"))</x:f>
        <x:v>202603</x:v>
      </x:c>
      <x:c r="H142" s="11" t="str">
        <x:f>IF(C142=0,"Partial only",IF(C142&gt;=2,"Yes","No"))</x:f>
        <x:v>No</x:v>
      </x:c>
      <x:c r="I142" s="11" t="n">
        <x:f>IF(C142=0,"",INT(G142/100)-INT(F142/100)+1)</x:f>
        <x:v>1</x:v>
      </x:c>
      <x:c r="J142" s="11" t="str">
        <x:v>Fantasy / Romantasy</x:v>
      </x:c>
      <x:c r="K142" s="11" t="str">
        <x:v>Arena</x:v>
      </x:c>
      <x:c r="L142" s="11" t="str">
        <x:v>2026-03-02</x:v>
      </x:c>
      <x:c r="M142" s="11" t="str">
        <x:v>978-3-401-60837-2</x:v>
      </x:c>
      <x:c r="N142" s="11" t="str">
        <x:v>Yes</x:v>
      </x:c>
      <x:c r="O142" s="11" t="n">
        <x:v>1</x:v>
      </x:c>
      <x:c r="P142" s="11" t="str">
        <x:v>No</x:v>
      </x:c>
      <x:c r="Q142" s="11" t="str">
        <x:v>Full verified</x:v>
      </x:c>
    </x:row>
    <x:row r="143">
      <x:c r="A143" s="11" t="str">
        <x:v>The Wind Weaver (Wind Weaver 1)</x:v>
      </x:c>
      <x:c r="B143" s="11" t="str">
        <x:v>Julie Johnson</x:v>
      </x:c>
      <x:c r="C143" s="11" t="n">
        <x:f>COUNTIFS(Rankings_Master!$D$2:$D$788,A143,Rankings_Master!$E$2:$E$788,B143,Rankings_Master!$J$2:$J$788,"Yes")</x:f>
        <x:v>1</x:v>
      </x:c>
      <x:c r="D143" s="11" t="n">
        <x:f>IF(C143=0,"",MINIFS(Rankings_Master!$B$2:$B$788,Rankings_Master!$D$2:$D$788,A143,Rankings_Master!$E$2:$E$788,B143,Rankings_Master!$J$2:$J$788,"Yes"))</x:f>
        <x:v>2</x:v>
      </x:c>
      <x:c r="E143" s="14" t="n">
        <x:f>IF(C143=0,"",SUMIFS(Rankings_Master!$B$2:$B$788,Rankings_Master!$D$2:$D$788,A143,Rankings_Master!$E$2:$E$788,B143,Rankings_Master!$J$2:$J$788,"Yes")/C143)</x:f>
        <x:v>2</x:v>
      </x:c>
      <x:c r="F143" s="11" t="n">
        <x:f>IF(C143=0,"",MINIFS(Rankings_Master!$H$2:$H$788,Rankings_Master!$D$2:$D$788,A143,Rankings_Master!$E$2:$E$788,B143,Rankings_Master!$J$2:$J$788,"Yes"))</x:f>
        <x:v>202505</x:v>
      </x:c>
      <x:c r="G143" s="11" t="n">
        <x:f>IF(C143=0,"",MAXIFS(Rankings_Master!$H$2:$H$788,Rankings_Master!$D$2:$D$788,A143,Rankings_Master!$E$2:$E$788,B143,Rankings_Master!$J$2:$J$788,"Yes"))</x:f>
        <x:v>202505</x:v>
      </x:c>
      <x:c r="H143" s="11" t="str">
        <x:f>IF(C143=0,"Partial only",IF(C143&gt;=2,"Yes","No"))</x:f>
        <x:v>No</x:v>
      </x:c>
      <x:c r="I143" s="11" t="n">
        <x:f>IF(C143=0,"",INT(G143/100)-INT(F143/100)+1)</x:f>
        <x:v>1</x:v>
      </x:c>
      <x:c r="J143" s="11" t="str">
        <x:v>Fantasy / Romantasy</x:v>
      </x:c>
      <x:c r="K143" s="11" t="str">
        <x:v>Forever / Ullstein</x:v>
      </x:c>
      <x:c r="L143" s="11" t="str">
        <x:v>2025-05-02</x:v>
      </x:c>
      <x:c r="M143" s="11" t="str">
        <x:v>978-3-95818-809-9</x:v>
      </x:c>
      <x:c r="N143" s="11" t="str">
        <x:v>Yes</x:v>
      </x:c>
      <x:c r="O143" s="11" t="n">
        <x:v>1</x:v>
      </x:c>
      <x:c r="P143" s="11" t="str">
        <x:v>No</x:v>
      </x:c>
      <x:c r="Q143" s="11" t="str">
        <x:v>Full verified</x:v>
      </x:c>
    </x:row>
    <x:row r="144">
      <x:c r="A144" s="11" t="str">
        <x:v>Rose in Chains</x:v>
      </x:c>
      <x:c r="B144" s="11" t="str">
        <x:v>Julie Soto</x:v>
      </x:c>
      <x:c r="C144" s="11" t="n">
        <x:f>COUNTIFS(Rankings_Master!$D$2:$D$788,A144,Rankings_Master!$E$2:$E$788,B144,Rankings_Master!$J$2:$J$788,"Yes")</x:f>
        <x:v>2</x:v>
      </x:c>
      <x:c r="D144" s="11" t="n">
        <x:f>IF(C144=0,"",MINIFS(Rankings_Master!$B$2:$B$788,Rankings_Master!$D$2:$D$788,A144,Rankings_Master!$E$2:$E$788,B144,Rankings_Master!$J$2:$J$788,"Yes"))</x:f>
        <x:v>7</x:v>
      </x:c>
      <x:c r="E144" s="14" t="n">
        <x:f>IF(C144=0,"",SUMIFS(Rankings_Master!$B$2:$B$788,Rankings_Master!$D$2:$D$788,A144,Rankings_Master!$E$2:$E$788,B144,Rankings_Master!$J$2:$J$788,"Yes")/C144)</x:f>
        <x:v>12.5</x:v>
      </x:c>
      <x:c r="F144" s="11" t="n">
        <x:f>IF(C144=0,"",MINIFS(Rankings_Master!$H$2:$H$788,Rankings_Master!$D$2:$D$788,A144,Rankings_Master!$E$2:$E$788,B144,Rankings_Master!$J$2:$J$788,"Yes"))</x:f>
        <x:v>202507</x:v>
      </x:c>
      <x:c r="G144" s="11" t="n">
        <x:f>IF(C144=0,"",MAXIFS(Rankings_Master!$H$2:$H$788,Rankings_Master!$D$2:$D$788,A144,Rankings_Master!$E$2:$E$788,B144,Rankings_Master!$J$2:$J$788,"Yes"))</x:f>
        <x:v>202508</x:v>
      </x:c>
      <x:c r="H144" s="11" t="str">
        <x:f>IF(C144=0,"Partial only",IF(C144&gt;=2,"Yes","No"))</x:f>
        <x:v>Yes</x:v>
      </x:c>
      <x:c r="I144" s="11" t="n">
        <x:f>IF(C144=0,"",INT(G144/100)-INT(F144/100)+1)</x:f>
        <x:v>1</x:v>
      </x:c>
      <x:c r="J144" s="11" t="str">
        <x:v>Fantasy / Romantasy</x:v>
      </x:c>
      <x:c r="K144" s="11" t="str">
        <x:v>Goldmann</x:v>
      </x:c>
      <x:c r="L144" s="11" t="str">
        <x:v>2025-07-16</x:v>
      </x:c>
      <x:c r="M144" s="11" t="str">
        <x:v>978-3-442-20686-5</x:v>
      </x:c>
      <x:c r="N144" s="11" t="str">
        <x:v>Yes</x:v>
      </x:c>
      <x:c r="O144" s="11" t="n">
        <x:v>1</x:v>
      </x:c>
      <x:c r="P144" s="11" t="str">
        <x:v>No</x:v>
      </x:c>
      <x:c r="Q144" s="11" t="str">
        <x:v>Full verified</x:v>
      </x:c>
    </x:row>
    <x:row r="145">
      <x:c r="A145" s="11" t="str">
        <x:v>Leave Me Behind</x:v>
      </x:c>
      <x:c r="B145" s="11" t="str">
        <x:v>K M Moronova</x:v>
      </x:c>
      <x:c r="C145" s="11" t="n">
        <x:f>COUNTIFS(Rankings_Master!$D$2:$D$788,A145,Rankings_Master!$E$2:$E$788,B145,Rankings_Master!$J$2:$J$788,"Yes")</x:f>
        <x:v>6</x:v>
      </x:c>
      <x:c r="D145" s="11" t="n">
        <x:f>IF(C145=0,"",MINIFS(Rankings_Master!$B$2:$B$788,Rankings_Master!$D$2:$D$788,A145,Rankings_Master!$E$2:$E$788,B145,Rankings_Master!$J$2:$J$788,"Yes"))</x:f>
        <x:v>1</x:v>
      </x:c>
      <x:c r="E145" s="14" t="n">
        <x:f>IF(C145=0,"",SUMIFS(Rankings_Master!$B$2:$B$788,Rankings_Master!$D$2:$D$788,A145,Rankings_Master!$E$2:$E$788,B145,Rankings_Master!$J$2:$J$788,"Yes")/C145)</x:f>
        <x:v>4.666666666666667</x:v>
      </x:c>
      <x:c r="F145" s="11" t="n">
        <x:f>IF(C145=0,"",MINIFS(Rankings_Master!$H$2:$H$788,Rankings_Master!$D$2:$D$788,A145,Rankings_Master!$E$2:$E$788,B145,Rankings_Master!$J$2:$J$788,"Yes"))</x:f>
        <x:v>202510</x:v>
      </x:c>
      <x:c r="G145" s="11" t="n">
        <x:f>IF(C145=0,"",MAXIFS(Rankings_Master!$H$2:$H$788,Rankings_Master!$D$2:$D$788,A145,Rankings_Master!$E$2:$E$788,B145,Rankings_Master!$J$2:$J$788,"Yes"))</x:f>
        <x:v>202604</x:v>
      </x:c>
      <x:c r="H145" s="11" t="str">
        <x:f>IF(C145=0,"Partial only",IF(C145&gt;=2,"Yes","No"))</x:f>
        <x:v>Yes</x:v>
      </x:c>
      <x:c r="I145" s="11" t="n">
        <x:f>IF(C145=0,"",INT(G145/100)-INT(F145/100)+1)</x:f>
        <x:v>2</x:v>
      </x:c>
      <x:c r="J145" s="11" t="str">
        <x:v>Dark Romance</x:v>
      </x:c>
      <x:c r="K145" s="11" t="str">
        <x:v>Blush Blanvalet</x:v>
      </x:c>
      <x:c r="L145" s="11" t="str">
        <x:v>2025-10-01</x:v>
      </x:c>
      <x:c r="M145" s="11" t="str">
        <x:v>978-3-7341-1520-2</x:v>
      </x:c>
      <x:c r="N145" s="11" t="str">
        <x:v>No</x:v>
      </x:c>
      <x:c r="O145" s="11"/>
      <x:c r="P145" s="11" t="str">
        <x:v>No</x:v>
      </x:c>
      <x:c r="Q145" s="11" t="str">
        <x:v>Full verified</x:v>
      </x:c>
    </x:row>
    <x:row r="146">
      <x:c r="A146" s="11" t="str">
        <x:v>My Blade, Your Back</x:v>
      </x:c>
      <x:c r="B146" s="11" t="str">
        <x:v>K M Moronova</x:v>
      </x:c>
      <x:c r="C146" s="11" t="n">
        <x:f>COUNTIFS(Rankings_Master!$D$2:$D$788,A146,Rankings_Master!$E$2:$E$788,B146,Rankings_Master!$J$2:$J$788,"Yes")</x:f>
        <x:v>2</x:v>
      </x:c>
      <x:c r="D146" s="11" t="n">
        <x:f>IF(C146=0,"",MINIFS(Rankings_Master!$B$2:$B$788,Rankings_Master!$D$2:$D$788,A146,Rankings_Master!$E$2:$E$788,B146,Rankings_Master!$J$2:$J$788,"Yes"))</x:f>
        <x:v>11</x:v>
      </x:c>
      <x:c r="E146" s="14" t="n">
        <x:f>IF(C146=0,"",SUMIFS(Rankings_Master!$B$2:$B$788,Rankings_Master!$D$2:$D$788,A146,Rankings_Master!$E$2:$E$788,B146,Rankings_Master!$J$2:$J$788,"Yes")/C146)</x:f>
        <x:v>14</x:v>
      </x:c>
      <x:c r="F146" s="11" t="n">
        <x:f>IF(C146=0,"",MINIFS(Rankings_Master!$H$2:$H$788,Rankings_Master!$D$2:$D$788,A146,Rankings_Master!$E$2:$E$788,B146,Rankings_Master!$J$2:$J$788,"Yes"))</x:f>
        <x:v>202512</x:v>
      </x:c>
      <x:c r="G146" s="11" t="n">
        <x:f>IF(C146=0,"",MAXIFS(Rankings_Master!$H$2:$H$788,Rankings_Master!$D$2:$D$788,A146,Rankings_Master!$E$2:$E$788,B146,Rankings_Master!$J$2:$J$788,"Yes"))</x:f>
        <x:v>202601</x:v>
      </x:c>
      <x:c r="H146" s="11" t="str">
        <x:f>IF(C146=0,"Partial only",IF(C146&gt;=2,"Yes","No"))</x:f>
        <x:v>Yes</x:v>
      </x:c>
      <x:c r="I146" s="11" t="n">
        <x:f>IF(C146=0,"",INT(G146/100)-INT(F146/100)+1)</x:f>
        <x:v>2</x:v>
      </x:c>
      <x:c r="J146" s="11" t="str">
        <x:v>Dark Romance</x:v>
      </x:c>
      <x:c r="K146" s="11" t="str">
        <x:v>Blush Blanvalet</x:v>
      </x:c>
      <x:c r="L146" s="11" t="str">
        <x:v>2025-12-24</x:v>
      </x:c>
      <x:c r="M146" s="11" t="str">
        <x:v>978-3-7341-1522-6</x:v>
      </x:c>
      <x:c r="N146" s="11" t="str">
        <x:v>Yes</x:v>
      </x:c>
      <x:c r="O146" s="11" t="n">
        <x:v>2</x:v>
      </x:c>
      <x:c r="P146" s="11" t="str">
        <x:v>No</x:v>
      </x:c>
      <x:c r="Q146" s="11" t="str">
        <x:v>Full verified</x:v>
      </x:c>
    </x:row>
    <x:row r="147">
      <x:c r="A147" s="11" t="str">
        <x:v>Your Knife, My Heart</x:v>
      </x:c>
      <x:c r="B147" s="11" t="str">
        <x:v>K M Moronova</x:v>
      </x:c>
      <x:c r="C147" s="11" t="n">
        <x:f>COUNTIFS(Rankings_Master!$D$2:$D$788,A147,Rankings_Master!$E$2:$E$788,B147,Rankings_Master!$J$2:$J$788,"Yes")</x:f>
        <x:v>3</x:v>
      </x:c>
      <x:c r="D147" s="11" t="n">
        <x:f>IF(C147=0,"",MINIFS(Rankings_Master!$B$2:$B$788,Rankings_Master!$D$2:$D$788,A147,Rankings_Master!$E$2:$E$788,B147,Rankings_Master!$J$2:$J$788,"Yes"))</x:f>
        <x:v>2</x:v>
      </x:c>
      <x:c r="E147" s="14" t="n">
        <x:f>IF(C147=0,"",SUMIFS(Rankings_Master!$B$2:$B$788,Rankings_Master!$D$2:$D$788,A147,Rankings_Master!$E$2:$E$788,B147,Rankings_Master!$J$2:$J$788,"Yes")/C147)</x:f>
        <x:v>7.333333333333333</x:v>
      </x:c>
      <x:c r="F147" s="11" t="n">
        <x:f>IF(C147=0,"",MINIFS(Rankings_Master!$H$2:$H$788,Rankings_Master!$D$2:$D$788,A147,Rankings_Master!$E$2:$E$788,B147,Rankings_Master!$J$2:$J$788,"Yes"))</x:f>
        <x:v>202511</x:v>
      </x:c>
      <x:c r="G147" s="11" t="n">
        <x:f>IF(C147=0,"",MAXIFS(Rankings_Master!$H$2:$H$788,Rankings_Master!$D$2:$D$788,A147,Rankings_Master!$E$2:$E$788,B147,Rankings_Master!$J$2:$J$788,"Yes"))</x:f>
        <x:v>202601</x:v>
      </x:c>
      <x:c r="H147" s="11" t="str">
        <x:f>IF(C147=0,"Partial only",IF(C147&gt;=2,"Yes","No"))</x:f>
        <x:v>Yes</x:v>
      </x:c>
      <x:c r="I147" s="11" t="n">
        <x:f>IF(C147=0,"",INT(G147/100)-INT(F147/100)+1)</x:f>
        <x:v>2</x:v>
      </x:c>
      <x:c r="J147" s="11" t="str">
        <x:v>Dark Romance</x:v>
      </x:c>
      <x:c r="K147" s="11" t="str">
        <x:v>Blush Blanvalet</x:v>
      </x:c>
      <x:c r="L147" s="11" t="str">
        <x:v>2025-11-26</x:v>
      </x:c>
      <x:c r="M147" s="11" t="str">
        <x:v>978-3-7341-1521-9</x:v>
      </x:c>
      <x:c r="N147" s="11" t="str">
        <x:v>Yes</x:v>
      </x:c>
      <x:c r="O147" s="11" t="n">
        <x:v>1</x:v>
      </x:c>
      <x:c r="P147" s="11" t="str">
        <x:v>No</x:v>
      </x:c>
      <x:c r="Q147" s="11" t="str">
        <x:v>Full verified</x:v>
      </x:c>
    </x:row>
    <x:row r="148">
      <x:c r="A148" s="11" t="str">
        <x:v>50 Sätze, die das Leben leichter machen</x:v>
      </x:c>
      <x:c r="B148" s="11" t="str">
        <x:v>Karin Kuschik</x:v>
      </x:c>
      <x:c r="C148" s="11" t="n">
        <x:f>COUNTIFS(Rankings_Master!$D$2:$D$788,A148,Rankings_Master!$E$2:$E$788,B148,Rankings_Master!$J$2:$J$788,"Yes")</x:f>
        <x:v>1</x:v>
      </x:c>
      <x:c r="D148" s="11" t="n">
        <x:f>IF(C148=0,"",MINIFS(Rankings_Master!$B$2:$B$788,Rankings_Master!$D$2:$D$788,A148,Rankings_Master!$E$2:$E$788,B148,Rankings_Master!$J$2:$J$788,"Yes"))</x:f>
        <x:v>14</x:v>
      </x:c>
      <x:c r="E148" s="14" t="n">
        <x:f>IF(C148=0,"",SUMIFS(Rankings_Master!$B$2:$B$788,Rankings_Master!$D$2:$D$788,A148,Rankings_Master!$E$2:$E$788,B148,Rankings_Master!$J$2:$J$788,"Yes")/C148)</x:f>
        <x:v>14</x:v>
      </x:c>
      <x:c r="F148" s="11" t="n">
        <x:f>IF(C148=0,"",MINIFS(Rankings_Master!$H$2:$H$788,Rankings_Master!$D$2:$D$788,A148,Rankings_Master!$E$2:$E$788,B148,Rankings_Master!$J$2:$J$788,"Yes"))</x:f>
        <x:v>202310</x:v>
      </x:c>
      <x:c r="G148" s="11" t="n">
        <x:f>IF(C148=0,"",MAXIFS(Rankings_Master!$H$2:$H$788,Rankings_Master!$D$2:$D$788,A148,Rankings_Master!$E$2:$E$788,B148,Rankings_Master!$J$2:$J$788,"Yes"))</x:f>
        <x:v>202310</x:v>
      </x:c>
      <x:c r="H148" s="11" t="str">
        <x:f>IF(C148=0,"Partial only",IF(C148&gt;=2,"Yes","No"))</x:f>
        <x:v>No</x:v>
      </x:c>
      <x:c r="I148" s="11" t="n">
        <x:f>IF(C148=0,"",INT(G148/100)-INT(F148/100)+1)</x:f>
        <x:v>1</x:v>
      </x:c>
      <x:c r="J148" s="11" t="str">
        <x:v>Self-Help / Psychology</x:v>
      </x:c>
      <x:c r="K148" s="11" t="str">
        <x:v>Rowohlt Taschenbuch</x:v>
      </x:c>
      <x:c r="L148" s="11" t="str">
        <x:v>2022-03-22</x:v>
      </x:c>
      <x:c r="M148" s="11" t="str">
        <x:v>978-3-499-00836-8</x:v>
      </x:c>
      <x:c r="N148" s="11" t="str">
        <x:v>No</x:v>
      </x:c>
      <x:c r="O148" s="11"/>
      <x:c r="P148" s="11"/>
      <x:c r="Q148" s="11" t="str">
        <x:v>Full verified</x:v>
      </x:c>
    </x:row>
    <x:row r="149">
      <x:c r="A149" s="11" t="str">
        <x:v>It Takes a Monster. Dragonblood Academy</x:v>
      </x:c>
      <x:c r="B149" s="11" t="str">
        <x:v>Karolyn Ciseau</x:v>
      </x:c>
      <x:c r="C149" s="11" t="n">
        <x:f>COUNTIFS(Rankings_Master!$D$2:$D$788,A149,Rankings_Master!$E$2:$E$788,B149,Rankings_Master!$J$2:$J$788,"Yes")</x:f>
        <x:v>1</x:v>
      </x:c>
      <x:c r="D149" s="11" t="n">
        <x:f>IF(C149=0,"",MINIFS(Rankings_Master!$B$2:$B$788,Rankings_Master!$D$2:$D$788,A149,Rankings_Master!$E$2:$E$788,B149,Rankings_Master!$J$2:$J$788,"Yes"))</x:f>
        <x:v>17</x:v>
      </x:c>
      <x:c r="E149" s="14" t="n">
        <x:f>IF(C149=0,"",SUMIFS(Rankings_Master!$B$2:$B$788,Rankings_Master!$D$2:$D$788,A149,Rankings_Master!$E$2:$E$788,B149,Rankings_Master!$J$2:$J$788,"Yes")/C149)</x:f>
        <x:v>17</x:v>
      </x:c>
      <x:c r="F149" s="11" t="n">
        <x:f>IF(C149=0,"",MINIFS(Rankings_Master!$H$2:$H$788,Rankings_Master!$D$2:$D$788,A149,Rankings_Master!$E$2:$E$788,B149,Rankings_Master!$J$2:$J$788,"Yes"))</x:f>
        <x:v>202508</x:v>
      </x:c>
      <x:c r="G149" s="11" t="n">
        <x:f>IF(C149=0,"",MAXIFS(Rankings_Master!$H$2:$H$788,Rankings_Master!$D$2:$D$788,A149,Rankings_Master!$E$2:$E$788,B149,Rankings_Master!$J$2:$J$788,"Yes"))</x:f>
        <x:v>202508</x:v>
      </x:c>
      <x:c r="H149" s="11" t="str">
        <x:f>IF(C149=0,"Partial only",IF(C149&gt;=2,"Yes","No"))</x:f>
        <x:v>No</x:v>
      </x:c>
      <x:c r="I149" s="11" t="n">
        <x:f>IF(C149=0,"",INT(G149/100)-INT(F149/100)+1)</x:f>
        <x:v>1</x:v>
      </x:c>
      <x:c r="J149" s="11" t="str">
        <x:v>Fantasy / Romantasy</x:v>
      </x:c>
      <x:c r="K149" s="11" t="str">
        <x:v>Edition Grace O’Malley / Drachenmond</x:v>
      </x:c>
      <x:c r="L149" s="11" t="str">
        <x:v>2025-08-07</x:v>
      </x:c>
      <x:c r="M149" s="11" t="str">
        <x:v>978-3-68937-007-7</x:v>
      </x:c>
      <x:c r="N149" s="11" t="str">
        <x:v>Yes</x:v>
      </x:c>
      <x:c r="O149" s="11" t="n">
        <x:v>1</x:v>
      </x:c>
      <x:c r="P149" s="11" t="str">
        <x:v>No</x:v>
      </x:c>
      <x:c r="Q149" s="11" t="str">
        <x:v>Core verified</x:v>
      </x:c>
    </x:row>
    <x:row r="150">
      <x:c r="A150" s="11" t="str">
        <x:v>The Ravenhood - Exodus</x:v>
      </x:c>
      <x:c r="B150" s="11" t="str">
        <x:v>Kate Stewart</x:v>
      </x:c>
      <x:c r="C150" s="11" t="n">
        <x:f>COUNTIFS(Rankings_Master!$D$2:$D$788,A150,Rankings_Master!$E$2:$E$788,B150,Rankings_Master!$J$2:$J$788,"Yes")</x:f>
        <x:v>1</x:v>
      </x:c>
      <x:c r="D150" s="11" t="n">
        <x:f>IF(C150=0,"",MINIFS(Rankings_Master!$B$2:$B$788,Rankings_Master!$D$2:$D$788,A150,Rankings_Master!$E$2:$E$788,B150,Rankings_Master!$J$2:$J$788,"Yes"))</x:f>
        <x:v>18</x:v>
      </x:c>
      <x:c r="E150" s="14" t="n">
        <x:f>IF(C150=0,"",SUMIFS(Rankings_Master!$B$2:$B$788,Rankings_Master!$D$2:$D$788,A150,Rankings_Master!$E$2:$E$788,B150,Rankings_Master!$J$2:$J$788,"Yes")/C150)</x:f>
        <x:v>18</x:v>
      </x:c>
      <x:c r="F150" s="11" t="n">
        <x:f>IF(C150=0,"",MINIFS(Rankings_Master!$H$2:$H$788,Rankings_Master!$D$2:$D$788,A150,Rankings_Master!$E$2:$E$788,B150,Rankings_Master!$J$2:$J$788,"Yes"))</x:f>
        <x:v>202305</x:v>
      </x:c>
      <x:c r="G150" s="11" t="n">
        <x:f>IF(C150=0,"",MAXIFS(Rankings_Master!$H$2:$H$788,Rankings_Master!$D$2:$D$788,A150,Rankings_Master!$E$2:$E$788,B150,Rankings_Master!$J$2:$J$788,"Yes"))</x:f>
        <x:v>202305</x:v>
      </x:c>
      <x:c r="H150" s="11" t="str">
        <x:f>IF(C150=0,"Partial only",IF(C150&gt;=2,"Yes","No"))</x:f>
        <x:v>No</x:v>
      </x:c>
      <x:c r="I150" s="11" t="n">
        <x:f>IF(C150=0,"",INT(G150/100)-INT(F150/100)+1)</x:f>
        <x:v>1</x:v>
      </x:c>
      <x:c r="J150" s="11" t="str">
        <x:v>Dark Romance</x:v>
      </x:c>
      <x:c r="K150" s="11" t="str">
        <x:v>Blanvalet</x:v>
      </x:c>
      <x:c r="L150" s="11" t="str">
        <x:v>2023-05-17</x:v>
      </x:c>
      <x:c r="M150" s="11" t="str">
        <x:v>978-3-641-30536-9</x:v>
      </x:c>
      <x:c r="N150" s="11" t="str">
        <x:v>Yes</x:v>
      </x:c>
      <x:c r="O150" s="11" t="n">
        <x:v>2</x:v>
      </x:c>
      <x:c r="P150" s="11" t="str">
        <x:v>No</x:v>
      </x:c>
      <x:c r="Q150" s="11" t="str">
        <x:v>Full verified</x:v>
      </x:c>
    </x:row>
    <x:row r="151">
      <x:c r="A151" s="11" t="str">
        <x:v>Girl in Pieces</x:v>
      </x:c>
      <x:c r="B151" s="11" t="str">
        <x:v>Kathleen Glasgow</x:v>
      </x:c>
      <x:c r="C151" s="11" t="n">
        <x:f>COUNTIFS(Rankings_Master!$D$2:$D$788,A151,Rankings_Master!$E$2:$E$788,B151,Rankings_Master!$J$2:$J$788,"Yes")</x:f>
        <x:v>3</x:v>
      </x:c>
      <x:c r="D151" s="11" t="n">
        <x:f>IF(C151=0,"",MINIFS(Rankings_Master!$B$2:$B$788,Rankings_Master!$D$2:$D$788,A151,Rankings_Master!$E$2:$E$788,B151,Rankings_Master!$J$2:$J$788,"Yes"))</x:f>
        <x:v>14</x:v>
      </x:c>
      <x:c r="E151" s="14" t="n">
        <x:f>IF(C151=0,"",SUMIFS(Rankings_Master!$B$2:$B$788,Rankings_Master!$D$2:$D$788,A151,Rankings_Master!$E$2:$E$788,B151,Rankings_Master!$J$2:$J$788,"Yes")/C151)</x:f>
        <x:v>15.666666666666666</x:v>
      </x:c>
      <x:c r="F151" s="11" t="n">
        <x:f>IF(C151=0,"",MINIFS(Rankings_Master!$H$2:$H$788,Rankings_Master!$D$2:$D$788,A151,Rankings_Master!$E$2:$E$788,B151,Rankings_Master!$J$2:$J$788,"Yes"))</x:f>
        <x:v>202304</x:v>
      </x:c>
      <x:c r="G151" s="11" t="n">
        <x:f>IF(C151=0,"",MAXIFS(Rankings_Master!$H$2:$H$788,Rankings_Master!$D$2:$D$788,A151,Rankings_Master!$E$2:$E$788,B151,Rankings_Master!$J$2:$J$788,"Yes"))</x:f>
        <x:v>202405</x:v>
      </x:c>
      <x:c r="H151" s="11" t="str">
        <x:f>IF(C151=0,"Partial only",IF(C151&gt;=2,"Yes","No"))</x:f>
        <x:v>Yes</x:v>
      </x:c>
      <x:c r="I151" s="11" t="n">
        <x:f>IF(C151=0,"",INT(G151/100)-INT(F151/100)+1)</x:f>
        <x:v>2</x:v>
      </x:c>
      <x:c r="J151" s="11" t="str">
        <x:v>YA / Coming-of-Age</x:v>
      </x:c>
      <x:c r="K151" s="11" t="str">
        <x:v>Fischer Sauerländer</x:v>
      </x:c>
      <x:c r="L151" s="11" t="str">
        <x:v>2022-07-22</x:v>
      </x:c>
      <x:c r="M151" s="11" t="str">
        <x:v>978-3-7335-0416-8</x:v>
      </x:c>
      <x:c r="N151" s="11" t="str">
        <x:v>No</x:v>
      </x:c>
      <x:c r="O151" s="11"/>
      <x:c r="P151" s="11"/>
      <x:c r="Q151" s="11" t="str">
        <x:v>Full verified</x:v>
      </x:c>
    </x:row>
    <x:row r="152">
      <x:c r="A152" s="11" t="str">
        <x:v>Ikigai</x:v>
      </x:c>
      <x:c r="B152" s="11" t="str">
        <x:v>Ken Mogi</x:v>
      </x:c>
      <x:c r="C152" s="11" t="n">
        <x:f>COUNTIFS(Rankings_Master!$D$2:$D$788,A152,Rankings_Master!$E$2:$E$788,B152,Rankings_Master!$J$2:$J$788,"Yes")</x:f>
        <x:v>13</x:v>
      </x:c>
      <x:c r="D152" s="11" t="n">
        <x:f>IF(C152=0,"",MINIFS(Rankings_Master!$B$2:$B$788,Rankings_Master!$D$2:$D$788,A152,Rankings_Master!$E$2:$E$788,B152,Rankings_Master!$J$2:$J$788,"Yes"))</x:f>
        <x:v>4</x:v>
      </x:c>
      <x:c r="E152" s="14" t="n">
        <x:f>IF(C152=0,"",SUMIFS(Rankings_Master!$B$2:$B$788,Rankings_Master!$D$2:$D$788,A152,Rankings_Master!$E$2:$E$788,B152,Rankings_Master!$J$2:$J$788,"Yes")/C152)</x:f>
        <x:v>10.076923076923077</x:v>
      </x:c>
      <x:c r="F152" s="11" t="n">
        <x:f>IF(C152=0,"",MINIFS(Rankings_Master!$H$2:$H$788,Rankings_Master!$D$2:$D$788,A152,Rankings_Master!$E$2:$E$788,B152,Rankings_Master!$J$2:$J$788,"Yes"))</x:f>
        <x:v>202503</x:v>
      </x:c>
      <x:c r="G152" s="11" t="n">
        <x:f>IF(C152=0,"",MAXIFS(Rankings_Master!$H$2:$H$788,Rankings_Master!$D$2:$D$788,A152,Rankings_Master!$E$2:$E$788,B152,Rankings_Master!$J$2:$J$788,"Yes"))</x:f>
        <x:v>202604</x:v>
      </x:c>
      <x:c r="H152" s="11" t="str">
        <x:f>IF(C152=0,"Partial only",IF(C152&gt;=2,"Yes","No"))</x:f>
        <x:v>Yes</x:v>
      </x:c>
      <x:c r="I152" s="11" t="n">
        <x:f>IF(C152=0,"",INT(G152/100)-INT(F152/100)+1)</x:f>
        <x:v>2</x:v>
      </x:c>
      <x:c r="J152" s="11" t="str">
        <x:v>Self-Help / Psychology</x:v>
      </x:c>
      <x:c r="K152" s="11" t="str">
        <x:v>DuMont</x:v>
      </x:c>
      <x:c r="L152" s="11" t="str">
        <x:v>2020</x:v>
      </x:c>
      <x:c r="M152" s="11" t="str">
        <x:v>978-3-8321-6516-1</x:v>
      </x:c>
      <x:c r="N152" s="11" t="str">
        <x:v>No</x:v>
      </x:c>
      <x:c r="O152" s="11"/>
      <x:c r="P152" s="11" t="str">
        <x:v>No</x:v>
      </x:c>
      <x:c r="Q152" s="11" t="str">
        <x:v>Full verified</x:v>
      </x:c>
    </x:row>
    <x:row r="153">
      <x:c r="A153" s="11" t="str">
        <x:v>Anathema</x:v>
      </x:c>
      <x:c r="B153" s="11" t="str">
        <x:v>Keri Lake</x:v>
      </x:c>
      <x:c r="C153" s="11" t="n">
        <x:f>COUNTIFS(Rankings_Master!$D$2:$D$788,A153,Rankings_Master!$E$2:$E$788,B153,Rankings_Master!$J$2:$J$788,"Yes")</x:f>
        <x:v>1</x:v>
      </x:c>
      <x:c r="D153" s="11" t="n">
        <x:f>IF(C153=0,"",MINIFS(Rankings_Master!$B$2:$B$788,Rankings_Master!$D$2:$D$788,A153,Rankings_Master!$E$2:$E$788,B153,Rankings_Master!$J$2:$J$788,"Yes"))</x:f>
        <x:v>14</x:v>
      </x:c>
      <x:c r="E153" s="14" t="n">
        <x:f>IF(C153=0,"",SUMIFS(Rankings_Master!$B$2:$B$788,Rankings_Master!$D$2:$D$788,A153,Rankings_Master!$E$2:$E$788,B153,Rankings_Master!$J$2:$J$788,"Yes")/C153)</x:f>
        <x:v>14</x:v>
      </x:c>
      <x:c r="F153" s="11" t="n">
        <x:f>IF(C153=0,"",MINIFS(Rankings_Master!$H$2:$H$788,Rankings_Master!$D$2:$D$788,A153,Rankings_Master!$E$2:$E$788,B153,Rankings_Master!$J$2:$J$788,"Yes"))</x:f>
        <x:v>202606</x:v>
      </x:c>
      <x:c r="G153" s="11" t="n">
        <x:f>IF(C153=0,"",MAXIFS(Rankings_Master!$H$2:$H$788,Rankings_Master!$D$2:$D$788,A153,Rankings_Master!$E$2:$E$788,B153,Rankings_Master!$J$2:$J$788,"Yes"))</x:f>
        <x:v>202606</x:v>
      </x:c>
      <x:c r="H153" s="11" t="str">
        <x:f>IF(C153=0,"Partial only",IF(C153&gt;=2,"Yes","No"))</x:f>
        <x:v>No</x:v>
      </x:c>
      <x:c r="I153" s="11" t="n">
        <x:f>IF(C153=0,"",INT(G153/100)-INT(F153/100)+1)</x:f>
        <x:v>1</x:v>
      </x:c>
      <x:c r="J153" s="11" t="str">
        <x:v>Fantasy / Romantasy</x:v>
      </x:c>
      <x:c r="K153" s="11" t="str">
        <x:v>LYX</x:v>
      </x:c>
      <x:c r="L153" s="11" t="str">
        <x:v>2026-06-01</x:v>
      </x:c>
      <x:c r="M153" s="11" t="str">
        <x:v>978-3-7363-2681-1</x:v>
      </x:c>
      <x:c r="N153" s="11" t="str">
        <x:v>Yes</x:v>
      </x:c>
      <x:c r="O153" s="11" t="n">
        <x:v>1</x:v>
      </x:c>
      <x:c r="P153" s="11" t="str">
        <x:v>No</x:v>
      </x:c>
      <x:c r="Q153" s="11" t="str">
        <x:v>Full verified</x:v>
      </x:c>
    </x:row>
    <x:row r="154">
      <x:c r="A154" s="11" t="str">
        <x:v>Liebe geht durch alle Zeiten (1). Rubinrot</x:v>
      </x:c>
      <x:c r="B154" s="11" t="str">
        <x:v>Kerstin Gier</x:v>
      </x:c>
      <x:c r="C154" s="11" t="n">
        <x:f>COUNTIFS(Rankings_Master!$D$2:$D$788,A154,Rankings_Master!$E$2:$E$788,B154,Rankings_Master!$J$2:$J$788,"Yes")</x:f>
        <x:v>1</x:v>
      </x:c>
      <x:c r="D154" s="11" t="n">
        <x:f>IF(C154=0,"",MINIFS(Rankings_Master!$B$2:$B$788,Rankings_Master!$D$2:$D$788,A154,Rankings_Master!$E$2:$E$788,B154,Rankings_Master!$J$2:$J$788,"Yes"))</x:f>
        <x:v>9</x:v>
      </x:c>
      <x:c r="E154" s="14" t="n">
        <x:f>IF(C154=0,"",SUMIFS(Rankings_Master!$B$2:$B$788,Rankings_Master!$D$2:$D$788,A154,Rankings_Master!$E$2:$E$788,B154,Rankings_Master!$J$2:$J$788,"Yes")/C154)</x:f>
        <x:v>9</x:v>
      </x:c>
      <x:c r="F154" s="11" t="n">
        <x:f>IF(C154=0,"",MINIFS(Rankings_Master!$H$2:$H$788,Rankings_Master!$D$2:$D$788,A154,Rankings_Master!$E$2:$E$788,B154,Rankings_Master!$J$2:$J$788,"Yes"))</x:f>
        <x:v>202506</x:v>
      </x:c>
      <x:c r="G154" s="11" t="n">
        <x:f>IF(C154=0,"",MAXIFS(Rankings_Master!$H$2:$H$788,Rankings_Master!$D$2:$D$788,A154,Rankings_Master!$E$2:$E$788,B154,Rankings_Master!$J$2:$J$788,"Yes"))</x:f>
        <x:v>202506</x:v>
      </x:c>
      <x:c r="H154" s="11" t="str">
        <x:f>IF(C154=0,"Partial only",IF(C154&gt;=2,"Yes","No"))</x:f>
        <x:v>No</x:v>
      </x:c>
      <x:c r="I154" s="11" t="n">
        <x:f>IF(C154=0,"",INT(G154/100)-INT(F154/100)+1)</x:f>
        <x:v>1</x:v>
      </x:c>
      <x:c r="J154" s="11" t="str">
        <x:v>Fantasy / YA</x:v>
      </x:c>
      <x:c r="K154" s="11" t="str">
        <x:v>Arena / Fischer-related backlist</x:v>
      </x:c>
      <x:c r="L154" s="11" t="str">
        <x:v>2009</x:v>
      </x:c>
      <x:c r="M154" s="11"/>
      <x:c r="N154" s="11" t="str">
        <x:v>Yes</x:v>
      </x:c>
      <x:c r="O154" s="11" t="n">
        <x:v>1</x:v>
      </x:c>
      <x:c r="P154" s="11" t="str">
        <x:v>No</x:v>
      </x:c>
      <x:c r="Q154" s="11" t="str">
        <x:v>Edition ambiguous</x:v>
      </x:c>
    </x:row>
    <x:row r="155">
      <x:c r="A155" s="11" t="str">
        <x:v>Vergissmeinnicht - Was bisher verloren war</x:v>
      </x:c>
      <x:c r="B155" s="11" t="str">
        <x:v>Kerstin Gier</x:v>
      </x:c>
      <x:c r="C155" s="11" t="n">
        <x:f>COUNTIFS(Rankings_Master!$D$2:$D$788,A155,Rankings_Master!$E$2:$E$788,B155,Rankings_Master!$J$2:$J$788,"Yes")</x:f>
        <x:v>4</x:v>
      </x:c>
      <x:c r="D155" s="11" t="n">
        <x:f>IF(C155=0,"",MINIFS(Rankings_Master!$B$2:$B$788,Rankings_Master!$D$2:$D$788,A155,Rankings_Master!$E$2:$E$788,B155,Rankings_Master!$J$2:$J$788,"Yes"))</x:f>
        <x:v>1</x:v>
      </x:c>
      <x:c r="E155" s="14" t="n">
        <x:f>IF(C155=0,"",SUMIFS(Rankings_Master!$B$2:$B$788,Rankings_Master!$D$2:$D$788,A155,Rankings_Master!$E$2:$E$788,B155,Rankings_Master!$J$2:$J$788,"Yes")/C155)</x:f>
        <x:v>8</x:v>
      </x:c>
      <x:c r="F155" s="11" t="n">
        <x:f>IF(C155=0,"",MINIFS(Rankings_Master!$H$2:$H$788,Rankings_Master!$D$2:$D$788,A155,Rankings_Master!$E$2:$E$788,B155,Rankings_Master!$J$2:$J$788,"Yes"))</x:f>
        <x:v>202306</x:v>
      </x:c>
      <x:c r="G155" s="11" t="n">
        <x:f>IF(C155=0,"",MAXIFS(Rankings_Master!$H$2:$H$788,Rankings_Master!$D$2:$D$788,A155,Rankings_Master!$E$2:$E$788,B155,Rankings_Master!$J$2:$J$788,"Yes"))</x:f>
        <x:v>202309</x:v>
      </x:c>
      <x:c r="H155" s="11" t="str">
        <x:f>IF(C155=0,"Partial only",IF(C155&gt;=2,"Yes","No"))</x:f>
        <x:v>Yes</x:v>
      </x:c>
      <x:c r="I155" s="11" t="n">
        <x:f>IF(C155=0,"",INT(G155/100)-INT(F155/100)+1)</x:f>
        <x:v>1</x:v>
      </x:c>
      <x:c r="J155" s="11" t="str">
        <x:v>Fantasy / Romantasy</x:v>
      </x:c>
      <x:c r="K155" s="11" t="str">
        <x:v>FISCHER</x:v>
      </x:c>
      <x:c r="L155" s="11" t="str">
        <x:v>2023-06-28</x:v>
      </x:c>
      <x:c r="M155" s="11" t="str">
        <x:v>978-3-949465-09-3</x:v>
      </x:c>
      <x:c r="N155" s="11" t="str">
        <x:v>Yes</x:v>
      </x:c>
      <x:c r="O155" s="11" t="n">
        <x:v>2</x:v>
      </x:c>
      <x:c r="P155" s="11"/>
      <x:c r="Q155" s="11" t="str">
        <x:v>Full verified</x:v>
      </x:c>
    </x:row>
    <x:row r="156">
      <x:c r="A156" s="11" t="str">
        <x:v>Vergissmeinnicht - Was die Welt zusammenhält</x:v>
      </x:c>
      <x:c r="B156" s="11" t="str">
        <x:v>Kerstin Gier</x:v>
      </x:c>
      <x:c r="C156" s="11" t="n">
        <x:f>COUNTIFS(Rankings_Master!$D$2:$D$788,A156,Rankings_Master!$E$2:$E$788,B156,Rankings_Master!$J$2:$J$788,"Yes")</x:f>
        <x:v>2</x:v>
      </x:c>
      <x:c r="D156" s="11" t="n">
        <x:f>IF(C156=0,"",MINIFS(Rankings_Master!$B$2:$B$788,Rankings_Master!$D$2:$D$788,A156,Rankings_Master!$E$2:$E$788,B156,Rankings_Master!$J$2:$J$788,"Yes"))</x:f>
        <x:v>1</x:v>
      </x:c>
      <x:c r="E156" s="14" t="n">
        <x:f>IF(C156=0,"",SUMIFS(Rankings_Master!$B$2:$B$788,Rankings_Master!$D$2:$D$788,A156,Rankings_Master!$E$2:$E$788,B156,Rankings_Master!$J$2:$J$788,"Yes")/C156)</x:f>
        <x:v>6.5</x:v>
      </x:c>
      <x:c r="F156" s="11" t="n">
        <x:f>IF(C156=0,"",MINIFS(Rankings_Master!$H$2:$H$788,Rankings_Master!$D$2:$D$788,A156,Rankings_Master!$E$2:$E$788,B156,Rankings_Master!$J$2:$J$788,"Yes"))</x:f>
        <x:v>202412</x:v>
      </x:c>
      <x:c r="G156" s="11" t="n">
        <x:f>IF(C156=0,"",MAXIFS(Rankings_Master!$H$2:$H$788,Rankings_Master!$D$2:$D$788,A156,Rankings_Master!$E$2:$E$788,B156,Rankings_Master!$J$2:$J$788,"Yes"))</x:f>
        <x:v>202502</x:v>
      </x:c>
      <x:c r="H156" s="11" t="str">
        <x:f>IF(C156=0,"Partial only",IF(C156&gt;=2,"Yes","No"))</x:f>
        <x:v>Yes</x:v>
      </x:c>
      <x:c r="I156" s="11" t="n">
        <x:f>IF(C156=0,"",INT(G156/100)-INT(F156/100)+1)</x:f>
        <x:v>2</x:v>
      </x:c>
      <x:c r="J156" s="11" t="str">
        <x:v>Fantasy / Romantasy</x:v>
      </x:c>
      <x:c r="K156" s="11" t="str">
        <x:v>FISCHER</x:v>
      </x:c>
      <x:c r="L156" s="11" t="str">
        <x:v>2024-11-27</x:v>
      </x:c>
      <x:c r="M156" s="11" t="str">
        <x:v>978-3-949465-19-2</x:v>
      </x:c>
      <x:c r="N156" s="11" t="str">
        <x:v>Yes</x:v>
      </x:c>
      <x:c r="O156" s="11" t="n">
        <x:v>3</x:v>
      </x:c>
      <x:c r="P156" s="11" t="str">
        <x:v>No</x:v>
      </x:c>
      <x:c r="Q156" s="11" t="str">
        <x:v>Full verified</x:v>
      </x:c>
    </x:row>
    <x:row r="157">
      <x:c r="A157" s="11" t="str">
        <x:v>Vergissmeinnicht - Was man bei Licht nicht sehen kann</x:v>
      </x:c>
      <x:c r="B157" s="11" t="str">
        <x:v>Kerstin Gier</x:v>
      </x:c>
      <x:c r="C157" s="11" t="n">
        <x:f>COUNTIFS(Rankings_Master!$D$2:$D$788,A157,Rankings_Master!$E$2:$E$788,B157,Rankings_Master!$J$2:$J$788,"Yes")</x:f>
        <x:v>1</x:v>
      </x:c>
      <x:c r="D157" s="11" t="n">
        <x:f>IF(C157=0,"",MINIFS(Rankings_Master!$B$2:$B$788,Rankings_Master!$D$2:$D$788,A157,Rankings_Master!$E$2:$E$788,B157,Rankings_Master!$J$2:$J$788,"Yes"))</x:f>
        <x:v>17</x:v>
      </x:c>
      <x:c r="E157" s="14" t="n">
        <x:f>IF(C157=0,"",SUMIFS(Rankings_Master!$B$2:$B$788,Rankings_Master!$D$2:$D$788,A157,Rankings_Master!$E$2:$E$788,B157,Rankings_Master!$J$2:$J$788,"Yes")/C157)</x:f>
        <x:v>17</x:v>
      </x:c>
      <x:c r="F157" s="11" t="n">
        <x:f>IF(C157=0,"",MINIFS(Rankings_Master!$H$2:$H$788,Rankings_Master!$D$2:$D$788,A157,Rankings_Master!$E$2:$E$788,B157,Rankings_Master!$J$2:$J$788,"Yes"))</x:f>
        <x:v>202308</x:v>
      </x:c>
      <x:c r="G157" s="11" t="n">
        <x:f>IF(C157=0,"",MAXIFS(Rankings_Master!$H$2:$H$788,Rankings_Master!$D$2:$D$788,A157,Rankings_Master!$E$2:$E$788,B157,Rankings_Master!$J$2:$J$788,"Yes"))</x:f>
        <x:v>202308</x:v>
      </x:c>
      <x:c r="H157" s="11" t="str">
        <x:f>IF(C157=0,"Partial only",IF(C157&gt;=2,"Yes","No"))</x:f>
        <x:v>No</x:v>
      </x:c>
      <x:c r="I157" s="11" t="n">
        <x:f>IF(C157=0,"",INT(G157/100)-INT(F157/100)+1)</x:f>
        <x:v>1</x:v>
      </x:c>
      <x:c r="J157" s="11" t="str">
        <x:v>Fantasy / Romantasy</x:v>
      </x:c>
      <x:c r="K157" s="11" t="str">
        <x:v>FISCHER</x:v>
      </x:c>
      <x:c r="L157" s="11"/>
      <x:c r="M157" s="11" t="str">
        <x:v>978-3-949465-00-0</x:v>
      </x:c>
      <x:c r="N157" s="11" t="str">
        <x:v>Yes</x:v>
      </x:c>
      <x:c r="O157" s="11" t="n">
        <x:v>1</x:v>
      </x:c>
      <x:c r="P157" s="11"/>
      <x:c r="Q157" s="11" t="str">
        <x:v>Core verified</x:v>
      </x:c>
    </x:row>
    <x:row r="158">
      <x:c r="A158" s="11" t="str">
        <x:v>Jeden Tag einen Schritt</x:v>
      </x:c>
      <x:c r="B158" s="11" t="str">
        <x:v>Kiarash Hossainpour, Philip Hopf</x:v>
      </x:c>
      <x:c r="C158" s="11" t="n">
        <x:f>COUNTIFS(Rankings_Master!$D$2:$D$788,A158,Rankings_Master!$E$2:$E$788,B158,Rankings_Master!$J$2:$J$788,"Yes")</x:f>
        <x:v>1</x:v>
      </x:c>
      <x:c r="D158" s="11" t="n">
        <x:f>IF(C158=0,"",MINIFS(Rankings_Master!$B$2:$B$788,Rankings_Master!$D$2:$D$788,A158,Rankings_Master!$E$2:$E$788,B158,Rankings_Master!$J$2:$J$788,"Yes"))</x:f>
        <x:v>19</x:v>
      </x:c>
      <x:c r="E158" s="14" t="n">
        <x:f>IF(C158=0,"",SUMIFS(Rankings_Master!$B$2:$B$788,Rankings_Master!$D$2:$D$788,A158,Rankings_Master!$E$2:$E$788,B158,Rankings_Master!$J$2:$J$788,"Yes")/C158)</x:f>
        <x:v>19</x:v>
      </x:c>
      <x:c r="F158" s="11" t="n">
        <x:f>IF(C158=0,"",MINIFS(Rankings_Master!$H$2:$H$788,Rankings_Master!$D$2:$D$788,A158,Rankings_Master!$E$2:$E$788,B158,Rankings_Master!$J$2:$J$788,"Yes"))</x:f>
        <x:v>202504</x:v>
      </x:c>
      <x:c r="G158" s="11" t="n">
        <x:f>IF(C158=0,"",MAXIFS(Rankings_Master!$H$2:$H$788,Rankings_Master!$D$2:$D$788,A158,Rankings_Master!$E$2:$E$788,B158,Rankings_Master!$J$2:$J$788,"Yes"))</x:f>
        <x:v>202504</x:v>
      </x:c>
      <x:c r="H158" s="11" t="str">
        <x:f>IF(C158=0,"Partial only",IF(C158&gt;=2,"Yes","No"))</x:f>
        <x:v>No</x:v>
      </x:c>
      <x:c r="I158" s="11" t="n">
        <x:f>IF(C158=0,"",INT(G158/100)-INT(F158/100)+1)</x:f>
        <x:v>1</x:v>
      </x:c>
      <x:c r="J158" s="11" t="str">
        <x:v>Self-Help / Business</x:v>
      </x:c>
      <x:c r="K158" s="11" t="str">
        <x:v>NXT LVL / Next Level Verlag</x:v>
      </x:c>
      <x:c r="L158" s="11" t="str">
        <x:v>2024-12-03</x:v>
      </x:c>
      <x:c r="M158" s="11" t="str">
        <x:v>978-3-689-36031-3</x:v>
      </x:c>
      <x:c r="N158" s="11" t="str">
        <x:v>No</x:v>
      </x:c>
      <x:c r="O158" s="11"/>
      <x:c r="P158" s="11" t="str">
        <x:v>No</x:v>
      </x:c>
      <x:c r="Q158" s="11" t="str">
        <x:v>Full verified</x:v>
      </x:c>
    </x:row>
    <x:row r="159">
      <x:c r="A159" s="11" t="str">
        <x:v>Masked by Nightfall</x:v>
      </x:c>
      <x:c r="B159" s="11" t="str">
        <x:v>Kim Nina Ocker</x:v>
      </x:c>
      <x:c r="C159" s="11" t="n">
        <x:f>COUNTIFS(Rankings_Master!$D$2:$D$788,A159,Rankings_Master!$E$2:$E$788,B159,Rankings_Master!$J$2:$J$788,"Yes")</x:f>
        <x:v>1</x:v>
      </x:c>
      <x:c r="D159" s="11" t="n">
        <x:f>IF(C159=0,"",MINIFS(Rankings_Master!$B$2:$B$788,Rankings_Master!$D$2:$D$788,A159,Rankings_Master!$E$2:$E$788,B159,Rankings_Master!$J$2:$J$788,"Yes"))</x:f>
        <x:v>13</x:v>
      </x:c>
      <x:c r="E159" s="14" t="n">
        <x:f>IF(C159=0,"",SUMIFS(Rankings_Master!$B$2:$B$788,Rankings_Master!$D$2:$D$788,A159,Rankings_Master!$E$2:$E$788,B159,Rankings_Master!$J$2:$J$788,"Yes")/C159)</x:f>
        <x:v>13</x:v>
      </x:c>
      <x:c r="F159" s="11" t="n">
        <x:f>IF(C159=0,"",MINIFS(Rankings_Master!$H$2:$H$788,Rankings_Master!$D$2:$D$788,A159,Rankings_Master!$E$2:$E$788,B159,Rankings_Master!$J$2:$J$788,"Yes"))</x:f>
        <x:v>202605</x:v>
      </x:c>
      <x:c r="G159" s="11" t="n">
        <x:f>IF(C159=0,"",MAXIFS(Rankings_Master!$H$2:$H$788,Rankings_Master!$D$2:$D$788,A159,Rankings_Master!$E$2:$E$788,B159,Rankings_Master!$J$2:$J$788,"Yes"))</x:f>
        <x:v>202605</x:v>
      </x:c>
      <x:c r="H159" s="11" t="str">
        <x:f>IF(C159=0,"Partial only",IF(C159&gt;=2,"Yes","No"))</x:f>
        <x:v>No</x:v>
      </x:c>
      <x:c r="I159" s="11" t="n">
        <x:f>IF(C159=0,"",INT(G159/100)-INT(F159/100)+1)</x:f>
        <x:v>1</x:v>
      </x:c>
      <x:c r="J159" s="11" t="str">
        <x:v>Fantasy / Romantasy</x:v>
      </x:c>
      <x:c r="K159" s="11" t="str">
        <x:v>LYX</x:v>
      </x:c>
      <x:c r="L159" s="11" t="str">
        <x:v>2026-04-27</x:v>
      </x:c>
      <x:c r="M159" s="11" t="str">
        <x:v>978-3-7363-2692-7</x:v>
      </x:c>
      <x:c r="N159" s="11" t="str">
        <x:v>Yes</x:v>
      </x:c>
      <x:c r="O159" s="11" t="n">
        <x:v>1</x:v>
      </x:c>
      <x:c r="P159" s="11" t="str">
        <x:v>No</x:v>
      </x:c>
      <x:c r="Q159" s="11" t="str">
        <x:v>Full verified</x:v>
      </x:c>
    </x:row>
    <x:row r="160">
      <x:c r="A160" s="11" t="str">
        <x:v>A Spark of Time - Rendezvous auf der Titanic</x:v>
      </x:c>
      <x:c r="B160" s="11" t="str">
        <x:v>Kira Licht</x:v>
      </x:c>
      <x:c r="C160" s="11" t="n">
        <x:f>COUNTIFS(Rankings_Master!$D$2:$D$788,A160,Rankings_Master!$E$2:$E$788,B160,Rankings_Master!$J$2:$J$788,"Yes")</x:f>
        <x:v>1</x:v>
      </x:c>
      <x:c r="D160" s="11" t="n">
        <x:f>IF(C160=0,"",MINIFS(Rankings_Master!$B$2:$B$788,Rankings_Master!$D$2:$D$788,A160,Rankings_Master!$E$2:$E$788,B160,Rankings_Master!$J$2:$J$788,"Yes"))</x:f>
        <x:v>18</x:v>
      </x:c>
      <x:c r="E160" s="14" t="n">
        <x:f>IF(C160=0,"",SUMIFS(Rankings_Master!$B$2:$B$788,Rankings_Master!$D$2:$D$788,A160,Rankings_Master!$E$2:$E$788,B160,Rankings_Master!$J$2:$J$788,"Yes")/C160)</x:f>
        <x:v>18</x:v>
      </x:c>
      <x:c r="F160" s="11" t="n">
        <x:f>IF(C160=0,"",MINIFS(Rankings_Master!$H$2:$H$788,Rankings_Master!$D$2:$D$788,A160,Rankings_Master!$E$2:$E$788,B160,Rankings_Master!$J$2:$J$788,"Yes"))</x:f>
        <x:v>202404</x:v>
      </x:c>
      <x:c r="G160" s="11" t="n">
        <x:f>IF(C160=0,"",MAXIFS(Rankings_Master!$H$2:$H$788,Rankings_Master!$D$2:$D$788,A160,Rankings_Master!$E$2:$E$788,B160,Rankings_Master!$J$2:$J$788,"Yes"))</x:f>
        <x:v>202404</x:v>
      </x:c>
      <x:c r="H160" s="11" t="str">
        <x:f>IF(C160=0,"Partial only",IF(C160&gt;=2,"Yes","No"))</x:f>
        <x:v>No</x:v>
      </x:c>
      <x:c r="I160" s="11" t="n">
        <x:f>IF(C160=0,"",INT(G160/100)-INT(F160/100)+1)</x:f>
        <x:v>1</x:v>
      </x:c>
      <x:c r="J160" s="11" t="str">
        <x:v>Fantasy / YA</x:v>
      </x:c>
      <x:c r="K160" s="11" t="str">
        <x:v>ONE</x:v>
      </x:c>
      <x:c r="L160" s="11" t="str">
        <x:v>2024-03-28</x:v>
      </x:c>
      <x:c r="M160" s="11" t="str">
        <x:v>978-3-8466-0217-1</x:v>
      </x:c>
      <x:c r="N160" s="11" t="str">
        <x:v>Yes</x:v>
      </x:c>
      <x:c r="O160" s="11" t="n">
        <x:v>1</x:v>
      </x:c>
      <x:c r="P160" s="11" t="str">
        <x:v>No</x:v>
      </x:c>
      <x:c r="Q160" s="11" t="str">
        <x:v>Full verified</x:v>
      </x:c>
    </x:row>
    <x:row r="161">
      <x:c r="A161" s="11" t="str">
        <x:v>Rebel Witch. Der rote Nachtfalter</x:v>
      </x:c>
      <x:c r="B161" s="11" t="str">
        <x:v>Kristen Ciccarelli</x:v>
      </x:c>
      <x:c r="C161" s="11" t="n">
        <x:f>COUNTIFS(Rankings_Master!$D$2:$D$788,A161,Rankings_Master!$E$2:$E$788,B161,Rankings_Master!$J$2:$J$788,"Yes")</x:f>
        <x:v>1</x:v>
      </x:c>
      <x:c r="D161" s="11" t="n">
        <x:f>IF(C161=0,"",MINIFS(Rankings_Master!$B$2:$B$788,Rankings_Master!$D$2:$D$788,A161,Rankings_Master!$E$2:$E$788,B161,Rankings_Master!$J$2:$J$788,"Yes"))</x:f>
        <x:v>3</x:v>
      </x:c>
      <x:c r="E161" s="14" t="n">
        <x:f>IF(C161=0,"",SUMIFS(Rankings_Master!$B$2:$B$788,Rankings_Master!$D$2:$D$788,A161,Rankings_Master!$E$2:$E$788,B161,Rankings_Master!$J$2:$J$788,"Yes")/C161)</x:f>
        <x:v>3</x:v>
      </x:c>
      <x:c r="F161" s="11" t="n">
        <x:f>IF(C161=0,"",MINIFS(Rankings_Master!$H$2:$H$788,Rankings_Master!$D$2:$D$788,A161,Rankings_Master!$E$2:$E$788,B161,Rankings_Master!$J$2:$J$788,"Yes"))</x:f>
        <x:v>202511</x:v>
      </x:c>
      <x:c r="G161" s="11" t="n">
        <x:f>IF(C161=0,"",MAXIFS(Rankings_Master!$H$2:$H$788,Rankings_Master!$D$2:$D$788,A161,Rankings_Master!$E$2:$E$788,B161,Rankings_Master!$J$2:$J$788,"Yes"))</x:f>
        <x:v>202511</x:v>
      </x:c>
      <x:c r="H161" s="11" t="str">
        <x:f>IF(C161=0,"Partial only",IF(C161&gt;=2,"Yes","No"))</x:f>
        <x:v>No</x:v>
      </x:c>
      <x:c r="I161" s="11" t="n">
        <x:f>IF(C161=0,"",INT(G161/100)-INT(F161/100)+1)</x:f>
        <x:v>1</x:v>
      </x:c>
      <x:c r="J161" s="11" t="str">
        <x:v>Fantasy / Romantasy</x:v>
      </x:c>
      <x:c r="K161" s="11" t="str">
        <x:v>Ravensburger</x:v>
      </x:c>
      <x:c r="L161" s="11" t="str">
        <x:v>2025</x:v>
      </x:c>
      <x:c r="M161" s="11" t="str">
        <x:v>978-3-473-40252-6</x:v>
      </x:c>
      <x:c r="N161" s="11" t="str">
        <x:v>Yes</x:v>
      </x:c>
      <x:c r="O161" s="11" t="n">
        <x:v>2</x:v>
      </x:c>
      <x:c r="P161" s="11" t="str">
        <x:v>No</x:v>
      </x:c>
      <x:c r="Q161" s="11" t="str">
        <x:v>Core verified</x:v>
      </x:c>
    </x:row>
    <x:row r="162">
      <x:c r="A162" s="11" t="str">
        <x:v>The First to Fall</x:v>
      </x:c>
      <x:c r="B162" s="11" t="str">
        <x:v>Kristina Moninger</x:v>
      </x:c>
      <x:c r="C162" s="11" t="n">
        <x:f>COUNTIFS(Rankings_Master!$D$2:$D$788,A162,Rankings_Master!$E$2:$E$788,B162,Rankings_Master!$J$2:$J$788,"Yes")</x:f>
        <x:v>1</x:v>
      </x:c>
      <x:c r="D162" s="11" t="n">
        <x:f>IF(C162=0,"",MINIFS(Rankings_Master!$B$2:$B$788,Rankings_Master!$D$2:$D$788,A162,Rankings_Master!$E$2:$E$788,B162,Rankings_Master!$J$2:$J$788,"Yes"))</x:f>
        <x:v>20</x:v>
      </x:c>
      <x:c r="E162" s="14" t="n">
        <x:f>IF(C162=0,"",SUMIFS(Rankings_Master!$B$2:$B$788,Rankings_Master!$D$2:$D$788,A162,Rankings_Master!$E$2:$E$788,B162,Rankings_Master!$J$2:$J$788,"Yes")/C162)</x:f>
        <x:v>20</x:v>
      </x:c>
      <x:c r="F162" s="11" t="n">
        <x:f>IF(C162=0,"",MINIFS(Rankings_Master!$H$2:$H$788,Rankings_Master!$D$2:$D$788,A162,Rankings_Master!$E$2:$E$788,B162,Rankings_Master!$J$2:$J$788,"Yes"))</x:f>
        <x:v>202502</x:v>
      </x:c>
      <x:c r="G162" s="11" t="n">
        <x:f>IF(C162=0,"",MAXIFS(Rankings_Master!$H$2:$H$788,Rankings_Master!$D$2:$D$788,A162,Rankings_Master!$E$2:$E$788,B162,Rankings_Master!$J$2:$J$788,"Yes"))</x:f>
        <x:v>202502</x:v>
      </x:c>
      <x:c r="H162" s="11" t="str">
        <x:f>IF(C162=0,"Partial only",IF(C162&gt;=2,"Yes","No"))</x:f>
        <x:v>No</x:v>
      </x:c>
      <x:c r="I162" s="11" t="n">
        <x:f>IF(C162=0,"",INT(G162/100)-INT(F162/100)+1)</x:f>
        <x:v>1</x:v>
      </x:c>
      <x:c r="J162" s="11" t="str">
        <x:v>Romance / New Adult</x:v>
      </x:c>
      <x:c r="K162" s="11" t="str">
        <x:v>Forever / Ullstein</x:v>
      </x:c>
      <x:c r="L162" s="11" t="str">
        <x:v>2025-02-27</x:v>
      </x:c>
      <x:c r="M162" s="11" t="str">
        <x:v>978-3-98978-011-8</x:v>
      </x:c>
      <x:c r="N162" s="11" t="str">
        <x:v>Yes</x:v>
      </x:c>
      <x:c r="O162" s="11" t="n">
        <x:v>1</x:v>
      </x:c>
      <x:c r="P162" s="11" t="str">
        <x:v>No</x:v>
      </x:c>
      <x:c r="Q162" s="11" t="str">
        <x:v>Full verified</x:v>
      </x:c>
    </x:row>
    <x:row r="163">
      <x:c r="A163" s="11" t="str">
        <x:v>Two Lives to Rise</x:v>
      </x:c>
      <x:c r="B163" s="11" t="str">
        <x:v>Kristina Moninger</x:v>
      </x:c>
      <x:c r="C163" s="11" t="n">
        <x:f>COUNTIFS(Rankings_Master!$D$2:$D$788,A163,Rankings_Master!$E$2:$E$788,B163,Rankings_Master!$J$2:$J$788,"Yes")</x:f>
        <x:v>1</x:v>
      </x:c>
      <x:c r="D163" s="11" t="n">
        <x:f>IF(C163=0,"",MINIFS(Rankings_Master!$B$2:$B$788,Rankings_Master!$D$2:$D$788,A163,Rankings_Master!$E$2:$E$788,B163,Rankings_Master!$J$2:$J$788,"Yes"))</x:f>
        <x:v>11</x:v>
      </x:c>
      <x:c r="E163" s="14" t="n">
        <x:f>IF(C163=0,"",SUMIFS(Rankings_Master!$B$2:$B$788,Rankings_Master!$D$2:$D$788,A163,Rankings_Master!$E$2:$E$788,B163,Rankings_Master!$J$2:$J$788,"Yes")/C163)</x:f>
        <x:v>11</x:v>
      </x:c>
      <x:c r="F163" s="11" t="n">
        <x:f>IF(C163=0,"",MINIFS(Rankings_Master!$H$2:$H$788,Rankings_Master!$D$2:$D$788,A163,Rankings_Master!$E$2:$E$788,B163,Rankings_Master!$J$2:$J$788,"Yes"))</x:f>
        <x:v>202310</x:v>
      </x:c>
      <x:c r="G163" s="11" t="n">
        <x:f>IF(C163=0,"",MAXIFS(Rankings_Master!$H$2:$H$788,Rankings_Master!$D$2:$D$788,A163,Rankings_Master!$E$2:$E$788,B163,Rankings_Master!$J$2:$J$788,"Yes"))</x:f>
        <x:v>202310</x:v>
      </x:c>
      <x:c r="H163" s="11" t="str">
        <x:f>IF(C163=0,"Partial only",IF(C163&gt;=2,"Yes","No"))</x:f>
        <x:v>No</x:v>
      </x:c>
      <x:c r="I163" s="11" t="n">
        <x:f>IF(C163=0,"",INT(G163/100)-INT(F163/100)+1)</x:f>
        <x:v>1</x:v>
      </x:c>
      <x:c r="J163" s="11" t="str">
        <x:v>Romance / New Adult</x:v>
      </x:c>
      <x:c r="K163" s="11" t="str">
        <x:v>Forever / Ullstein</x:v>
      </x:c>
      <x:c r="L163" s="11" t="str">
        <x:v>2023-10-19</x:v>
      </x:c>
      <x:c r="M163" s="11" t="str">
        <x:v>978-3-95818-717-7</x:v>
      </x:c>
      <x:c r="N163" s="11"/>
      <x:c r="O163" s="11"/>
      <x:c r="P163" s="11" t="str">
        <x:v>No</x:v>
      </x:c>
      <x:c r="Q163" s="11" t="str">
        <x:v>Full verified</x:v>
      </x:c>
    </x:row>
    <x:row r="164">
      <x:c r="A164" s="11" t="str">
        <x:v>Zeilenflüstern (Sweet Lemon Agency)</x:v>
      </x:c>
      <x:c r="B164" s="11" t="str">
        <x:v>Kyra Groh</x:v>
      </x:c>
      <x:c r="C164" s="11" t="n">
        <x:f>COUNTIFS(Rankings_Master!$D$2:$D$788,A164,Rankings_Master!$E$2:$E$788,B164,Rankings_Master!$J$2:$J$788,"Yes")</x:f>
        <x:v>1</x:v>
      </x:c>
      <x:c r="D164" s="11" t="n">
        <x:f>IF(C164=0,"",MINIFS(Rankings_Master!$B$2:$B$788,Rankings_Master!$D$2:$D$788,A164,Rankings_Master!$E$2:$E$788,B164,Rankings_Master!$J$2:$J$788,"Yes"))</x:f>
        <x:v>16</x:v>
      </x:c>
      <x:c r="E164" s="14" t="n">
        <x:f>IF(C164=0,"",SUMIFS(Rankings_Master!$B$2:$B$788,Rankings_Master!$D$2:$D$788,A164,Rankings_Master!$E$2:$E$788,B164,Rankings_Master!$J$2:$J$788,"Yes")/C164)</x:f>
        <x:v>16</x:v>
      </x:c>
      <x:c r="F164" s="11" t="n">
        <x:f>IF(C164=0,"",MINIFS(Rankings_Master!$H$2:$H$788,Rankings_Master!$D$2:$D$788,A164,Rankings_Master!$E$2:$E$788,B164,Rankings_Master!$J$2:$J$788,"Yes"))</x:f>
        <x:v>202403</x:v>
      </x:c>
      <x:c r="G164" s="11" t="n">
        <x:f>IF(C164=0,"",MAXIFS(Rankings_Master!$H$2:$H$788,Rankings_Master!$D$2:$D$788,A164,Rankings_Master!$E$2:$E$788,B164,Rankings_Master!$J$2:$J$788,"Yes"))</x:f>
        <x:v>202403</x:v>
      </x:c>
      <x:c r="H164" s="11" t="str">
        <x:f>IF(C164=0,"Partial only",IF(C164&gt;=2,"Yes","No"))</x:f>
        <x:v>No</x:v>
      </x:c>
      <x:c r="I164" s="11" t="n">
        <x:f>IF(C164=0,"",INT(G164/100)-INT(F164/100)+1)</x:f>
        <x:v>1</x:v>
      </x:c>
      <x:c r="J164" s="11" t="str">
        <x:v>Romance / New Adult</x:v>
      </x:c>
      <x:c r="K164" s="11" t="str">
        <x:v>Loewe</x:v>
      </x:c>
      <x:c r="L164" s="11" t="str">
        <x:v>2024-03-13</x:v>
      </x:c>
      <x:c r="M164" s="11" t="str">
        <x:v>978-3-7432-1544-3</x:v>
      </x:c>
      <x:c r="N164" s="11" t="str">
        <x:v>Yes</x:v>
      </x:c>
      <x:c r="O164" s="11" t="n">
        <x:v>1</x:v>
      </x:c>
      <x:c r="P164" s="11" t="str">
        <x:v>No</x:v>
      </x:c>
      <x:c r="Q164" s="11" t="str">
        <x:v>Full verified</x:v>
      </x:c>
    </x:row>
    <x:row r="165">
      <x:c r="A165" s="11" t="str">
        <x:v>Bad Bishop</x:v>
      </x:c>
      <x:c r="B165" s="11" t="str">
        <x:v>L. J. Shen</x:v>
      </x:c>
      <x:c r="C165" s="11" t="n">
        <x:f>COUNTIFS(Rankings_Master!$D$2:$D$788,A165,Rankings_Master!$E$2:$E$788,B165,Rankings_Master!$J$2:$J$788,"Yes")</x:f>
        <x:v>1</x:v>
      </x:c>
      <x:c r="D165" s="11" t="n">
        <x:f>IF(C165=0,"",MINIFS(Rankings_Master!$B$2:$B$788,Rankings_Master!$D$2:$D$788,A165,Rankings_Master!$E$2:$E$788,B165,Rankings_Master!$J$2:$J$788,"Yes"))</x:f>
        <x:v>4</x:v>
      </x:c>
      <x:c r="E165" s="14" t="n">
        <x:f>IF(C165=0,"",SUMIFS(Rankings_Master!$B$2:$B$788,Rankings_Master!$D$2:$D$788,A165,Rankings_Master!$E$2:$E$788,B165,Rankings_Master!$J$2:$J$788,"Yes")/C165)</x:f>
        <x:v>4</x:v>
      </x:c>
      <x:c r="F165" s="11" t="n">
        <x:f>IF(C165=0,"",MINIFS(Rankings_Master!$H$2:$H$788,Rankings_Master!$D$2:$D$788,A165,Rankings_Master!$E$2:$E$788,B165,Rankings_Master!$J$2:$J$788,"Yes"))</x:f>
        <x:v>202606</x:v>
      </x:c>
      <x:c r="G165" s="11" t="n">
        <x:f>IF(C165=0,"",MAXIFS(Rankings_Master!$H$2:$H$788,Rankings_Master!$D$2:$D$788,A165,Rankings_Master!$E$2:$E$788,B165,Rankings_Master!$J$2:$J$788,"Yes"))</x:f>
        <x:v>202606</x:v>
      </x:c>
      <x:c r="H165" s="11" t="str">
        <x:f>IF(C165=0,"Partial only",IF(C165&gt;=2,"Yes","No"))</x:f>
        <x:v>No</x:v>
      </x:c>
      <x:c r="I165" s="11" t="n">
        <x:f>IF(C165=0,"",INT(G165/100)-INT(F165/100)+1)</x:f>
        <x:v>1</x:v>
      </x:c>
      <x:c r="J165" s="11" t="str">
        <x:v>Dark Romance</x:v>
      </x:c>
      <x:c r="K165" s="11" t="str">
        <x:v>Blush Blanvalet</x:v>
      </x:c>
      <x:c r="L165" s="11" t="str">
        <x:v>2026-05-27</x:v>
      </x:c>
      <x:c r="M165" s="11" t="str">
        <x:v>978-3-7341-1596-7</x:v>
      </x:c>
      <x:c r="N165" s="11" t="str">
        <x:v>Yes</x:v>
      </x:c>
      <x:c r="O165" s="11" t="n">
        <x:v>1</x:v>
      </x:c>
      <x:c r="P165" s="11" t="str">
        <x:v>No</x:v>
      </x:c>
      <x:c r="Q165" s="11" t="str">
        <x:v>Full verified</x:v>
      </x:c>
    </x:row>
    <x:row r="166">
      <x:c r="A166" s="11" t="str">
        <x:v>My Dark Romeo</x:v>
      </x:c>
      <x:c r="B166" s="11" t="str">
        <x:v>L. J. Shen &amp; Parker S. Huntington</x:v>
      </x:c>
      <x:c r="C166" s="11" t="n">
        <x:f>COUNTIFS(Rankings_Master!$D$2:$D$788,A166,Rankings_Master!$E$2:$E$788,B166,Rankings_Master!$J$2:$J$788,"Yes")</x:f>
        <x:v>0</x:v>
      </x:c>
      <x:c r="D166" s="11" t="str">
        <x:f>IF(C166=0,"",MINIFS(Rankings_Master!$B$2:$B$788,Rankings_Master!$D$2:$D$788,A166,Rankings_Master!$E$2:$E$788,B166,Rankings_Master!$J$2:$J$788,"Yes"))</x:f>
      </x:c>
      <x:c r="E166" s="14" t="str">
        <x:f>IF(C166=0,"",SUMIFS(Rankings_Master!$B$2:$B$788,Rankings_Master!$D$2:$D$788,A166,Rankings_Master!$E$2:$E$788,B166,Rankings_Master!$J$2:$J$788,"Yes")/C166)</x:f>
      </x:c>
      <x:c r="F166" s="11" t="str">
        <x:f>IF(C166=0,"",MINIFS(Rankings_Master!$H$2:$H$788,Rankings_Master!$D$2:$D$788,A166,Rankings_Master!$E$2:$E$788,B166,Rankings_Master!$J$2:$J$788,"Yes"))</x:f>
      </x:c>
      <x:c r="G166" s="11" t="str">
        <x:f>IF(C166=0,"",MAXIFS(Rankings_Master!$H$2:$H$788,Rankings_Master!$D$2:$D$788,A166,Rankings_Master!$E$2:$E$788,B166,Rankings_Master!$J$2:$J$788,"Yes"))</x:f>
      </x:c>
      <x:c r="H166" s="11" t="str">
        <x:f>IF(C166=0,"Partial only",IF(C166&gt;=2,"Yes","No"))</x:f>
        <x:v>Partial only</x:v>
      </x:c>
      <x:c r="I166" s="11" t="str">
        <x:f>IF(C166=0,"",INT(G166/100)-INT(F166/100)+1)</x:f>
      </x:c>
      <x:c r="J166" s="11" t="str">
        <x:v>Dark Romance</x:v>
      </x:c>
      <x:c r="K166" s="11" t="str">
        <x:v>Knaur TB</x:v>
      </x:c>
      <x:c r="L166" s="11" t="str">
        <x:v>2024-11-04</x:v>
      </x:c>
      <x:c r="M166" s="11" t="str">
        <x:v>978-3-426-28437-7</x:v>
      </x:c>
      <x:c r="N166" s="11" t="str">
        <x:v>Yes</x:v>
      </x:c>
      <x:c r="O166" s="11" t="n">
        <x:v>1</x:v>
      </x:c>
      <x:c r="P166" s="11" t="str">
        <x:v>No</x:v>
      </x:c>
      <x:c r="Q166" s="11" t="str">
        <x:v>Full verified</x:v>
      </x:c>
    </x:row>
    <x:row r="167">
      <x:c r="A167" s="11" t="str">
        <x:v>The Darlington - Ethan &amp; Grace</x:v>
      </x:c>
      <x:c r="B167" s="11" t="str">
        <x:v>Laura Kneidl</x:v>
      </x:c>
      <x:c r="C167" s="11" t="n">
        <x:f>COUNTIFS(Rankings_Master!$D$2:$D$788,A167,Rankings_Master!$E$2:$E$788,B167,Rankings_Master!$J$2:$J$788,"Yes")</x:f>
        <x:v>1</x:v>
      </x:c>
      <x:c r="D167" s="11" t="n">
        <x:f>IF(C167=0,"",MINIFS(Rankings_Master!$B$2:$B$788,Rankings_Master!$D$2:$D$788,A167,Rankings_Master!$E$2:$E$788,B167,Rankings_Master!$J$2:$J$788,"Yes"))</x:f>
        <x:v>14</x:v>
      </x:c>
      <x:c r="E167" s="14" t="n">
        <x:f>IF(C167=0,"",SUMIFS(Rankings_Master!$B$2:$B$788,Rankings_Master!$D$2:$D$788,A167,Rankings_Master!$E$2:$E$788,B167,Rankings_Master!$J$2:$J$788,"Yes")/C167)</x:f>
        <x:v>14</x:v>
      </x:c>
      <x:c r="F167" s="11" t="n">
        <x:f>IF(C167=0,"",MINIFS(Rankings_Master!$H$2:$H$788,Rankings_Master!$D$2:$D$788,A167,Rankings_Master!$E$2:$E$788,B167,Rankings_Master!$J$2:$J$788,"Yes"))</x:f>
        <x:v>202510</x:v>
      </x:c>
      <x:c r="G167" s="11" t="n">
        <x:f>IF(C167=0,"",MAXIFS(Rankings_Master!$H$2:$H$788,Rankings_Master!$D$2:$D$788,A167,Rankings_Master!$E$2:$E$788,B167,Rankings_Master!$J$2:$J$788,"Yes"))</x:f>
        <x:v>202510</x:v>
      </x:c>
      <x:c r="H167" s="11" t="str">
        <x:f>IF(C167=0,"Partial only",IF(C167&gt;=2,"Yes","No"))</x:f>
        <x:v>No</x:v>
      </x:c>
      <x:c r="I167" s="11" t="n">
        <x:f>IF(C167=0,"",INT(G167/100)-INT(F167/100)+1)</x:f>
        <x:v>1</x:v>
      </x:c>
      <x:c r="J167" s="11" t="str">
        <x:v>Romance / New Adult</x:v>
      </x:c>
      <x:c r="K167" s="11" t="str">
        <x:v>LYX</x:v>
      </x:c>
      <x:c r="L167" s="11" t="str">
        <x:v>2025-10-15</x:v>
      </x:c>
      <x:c r="M167" s="11" t="str">
        <x:v>978-3-7363-2491-6</x:v>
      </x:c>
      <x:c r="N167" s="11" t="str">
        <x:v>Yes</x:v>
      </x:c>
      <x:c r="O167" s="11" t="n">
        <x:v>2</x:v>
      </x:c>
      <x:c r="P167" s="11" t="str">
        <x:v>No</x:v>
      </x:c>
      <x:c r="Q167" s="11" t="str">
        <x:v>Full verified</x:v>
      </x:c>
    </x:row>
    <x:row r="168">
      <x:c r="A168" s="11" t="str">
        <x:v>The Darlington - Henry &amp; Kate</x:v>
      </x:c>
      <x:c r="B168" s="11" t="str">
        <x:v>Laura Kneidl</x:v>
      </x:c>
      <x:c r="C168" s="11" t="n">
        <x:f>COUNTIFS(Rankings_Master!$D$2:$D$788,A168,Rankings_Master!$E$2:$E$788,B168,Rankings_Master!$J$2:$J$788,"Yes")</x:f>
        <x:v>2</x:v>
      </x:c>
      <x:c r="D168" s="11" t="n">
        <x:f>IF(C168=0,"",MINIFS(Rankings_Master!$B$2:$B$788,Rankings_Master!$D$2:$D$788,A168,Rankings_Master!$E$2:$E$788,B168,Rankings_Master!$J$2:$J$788,"Yes"))</x:f>
        <x:v>9</x:v>
      </x:c>
      <x:c r="E168" s="14" t="n">
        <x:f>IF(C168=0,"",SUMIFS(Rankings_Master!$B$2:$B$788,Rankings_Master!$D$2:$D$788,A168,Rankings_Master!$E$2:$E$788,B168,Rankings_Master!$J$2:$J$788,"Yes")/C168)</x:f>
        <x:v>12.5</x:v>
      </x:c>
      <x:c r="F168" s="11" t="n">
        <x:f>IF(C168=0,"",MINIFS(Rankings_Master!$H$2:$H$788,Rankings_Master!$D$2:$D$788,A168,Rankings_Master!$E$2:$E$788,B168,Rankings_Master!$J$2:$J$788,"Yes"))</x:f>
        <x:v>202507</x:v>
      </x:c>
      <x:c r="G168" s="11" t="n">
        <x:f>IF(C168=0,"",MAXIFS(Rankings_Master!$H$2:$H$788,Rankings_Master!$D$2:$D$788,A168,Rankings_Master!$E$2:$E$788,B168,Rankings_Master!$J$2:$J$788,"Yes"))</x:f>
        <x:v>202508</x:v>
      </x:c>
      <x:c r="H168" s="11" t="str">
        <x:f>IF(C168=0,"Partial only",IF(C168&gt;=2,"Yes","No"))</x:f>
        <x:v>Yes</x:v>
      </x:c>
      <x:c r="I168" s="11" t="n">
        <x:f>IF(C168=0,"",INT(G168/100)-INT(F168/100)+1)</x:f>
        <x:v>1</x:v>
      </x:c>
      <x:c r="J168" s="11" t="str">
        <x:v>Romance / New Adult</x:v>
      </x:c>
      <x:c r="K168" s="11" t="str">
        <x:v>LYX</x:v>
      </x:c>
      <x:c r="L168" s="11" t="str">
        <x:v>2025</x:v>
      </x:c>
      <x:c r="M168" s="11" t="str">
        <x:v>978-3-7363-2355-1</x:v>
      </x:c>
      <x:c r="N168" s="11" t="str">
        <x:v>Yes</x:v>
      </x:c>
      <x:c r="O168" s="11" t="n">
        <x:v>1</x:v>
      </x:c>
      <x:c r="P168" s="11" t="str">
        <x:v>No</x:v>
      </x:c>
      <x:c r="Q168" s="11" t="str">
        <x:v>Core verified</x:v>
      </x:c>
    </x:row>
    <x:row r="169">
      <x:c r="A169" s="11" t="str">
        <x:v>The Darlington - Logan &amp; Rose</x:v>
      </x:c>
      <x:c r="B169" s="11" t="str">
        <x:v>Laura Kneidl</x:v>
      </x:c>
      <x:c r="C169" s="11" t="n">
        <x:f>COUNTIFS(Rankings_Master!$D$2:$D$788,A169,Rankings_Master!$E$2:$E$788,B169,Rankings_Master!$J$2:$J$788,"Yes")</x:f>
        <x:v>2</x:v>
      </x:c>
      <x:c r="D169" s="11" t="n">
        <x:f>IF(C169=0,"",MINIFS(Rankings_Master!$B$2:$B$788,Rankings_Master!$D$2:$D$788,A169,Rankings_Master!$E$2:$E$788,B169,Rankings_Master!$J$2:$J$788,"Yes"))</x:f>
        <x:v>9</x:v>
      </x:c>
      <x:c r="E169" s="14" t="n">
        <x:f>IF(C169=0,"",SUMIFS(Rankings_Master!$B$2:$B$788,Rankings_Master!$D$2:$D$788,A169,Rankings_Master!$E$2:$E$788,B169,Rankings_Master!$J$2:$J$788,"Yes")/C169)</x:f>
        <x:v>11</x:v>
      </x:c>
      <x:c r="F169" s="11" t="n">
        <x:f>IF(C169=0,"",MINIFS(Rankings_Master!$H$2:$H$788,Rankings_Master!$D$2:$D$788,A169,Rankings_Master!$E$2:$E$788,B169,Rankings_Master!$J$2:$J$788,"Yes"))</x:f>
        <x:v>202602</x:v>
      </x:c>
      <x:c r="G169" s="11" t="n">
        <x:f>IF(C169=0,"",MAXIFS(Rankings_Master!$H$2:$H$788,Rankings_Master!$D$2:$D$788,A169,Rankings_Master!$E$2:$E$788,B169,Rankings_Master!$J$2:$J$788,"Yes"))</x:f>
        <x:v>202603</x:v>
      </x:c>
      <x:c r="H169" s="11" t="str">
        <x:f>IF(C169=0,"Partial only",IF(C169&gt;=2,"Yes","No"))</x:f>
        <x:v>Yes</x:v>
      </x:c>
      <x:c r="I169" s="11" t="n">
        <x:f>IF(C169=0,"",INT(G169/100)-INT(F169/100)+1)</x:f>
        <x:v>1</x:v>
      </x:c>
      <x:c r="J169" s="11" t="str">
        <x:v>Romance / New Adult</x:v>
      </x:c>
      <x:c r="K169" s="11" t="str">
        <x:v>LYX</x:v>
      </x:c>
      <x:c r="L169" s="11" t="str">
        <x:v>2026</x:v>
      </x:c>
      <x:c r="M169" s="11" t="str">
        <x:v>978-3-7363-2490-9</x:v>
      </x:c>
      <x:c r="N169" s="11" t="str">
        <x:v>Yes</x:v>
      </x:c>
      <x:c r="O169" s="11" t="n">
        <x:v>3</x:v>
      </x:c>
      <x:c r="P169" s="11" t="str">
        <x:v>No</x:v>
      </x:c>
      <x:c r="Q169" s="11" t="str">
        <x:v>Core verified</x:v>
      </x:c>
    </x:row>
    <x:row r="170">
      <x:c r="A170" s="11" t="str">
        <x:v>Vergiss uns. Nicht.</x:v>
      </x:c>
      <x:c r="B170" s="11" t="str">
        <x:v>Laura Kneidl</x:v>
      </x:c>
      <x:c r="C170" s="11" t="n">
        <x:f>COUNTIFS(Rankings_Master!$D$2:$D$788,A170,Rankings_Master!$E$2:$E$788,B170,Rankings_Master!$J$2:$J$788,"Yes")</x:f>
        <x:v>1</x:v>
      </x:c>
      <x:c r="D170" s="11" t="n">
        <x:f>IF(C170=0,"",MINIFS(Rankings_Master!$B$2:$B$788,Rankings_Master!$D$2:$D$788,A170,Rankings_Master!$E$2:$E$788,B170,Rankings_Master!$J$2:$J$788,"Yes"))</x:f>
        <x:v>9</x:v>
      </x:c>
      <x:c r="E170" s="14" t="n">
        <x:f>IF(C170=0,"",SUMIFS(Rankings_Master!$B$2:$B$788,Rankings_Master!$D$2:$D$788,A170,Rankings_Master!$E$2:$E$788,B170,Rankings_Master!$J$2:$J$788,"Yes")/C170)</x:f>
        <x:v>9</x:v>
      </x:c>
      <x:c r="F170" s="11" t="n">
        <x:f>IF(C170=0,"",MINIFS(Rankings_Master!$H$2:$H$788,Rankings_Master!$D$2:$D$788,A170,Rankings_Master!$E$2:$E$788,B170,Rankings_Master!$J$2:$J$788,"Yes"))</x:f>
        <x:v>202304</x:v>
      </x:c>
      <x:c r="G170" s="11" t="n">
        <x:f>IF(C170=0,"",MAXIFS(Rankings_Master!$H$2:$H$788,Rankings_Master!$D$2:$D$788,A170,Rankings_Master!$E$2:$E$788,B170,Rankings_Master!$J$2:$J$788,"Yes"))</x:f>
        <x:v>202304</x:v>
      </x:c>
      <x:c r="H170" s="11" t="str">
        <x:f>IF(C170=0,"Partial only",IF(C170&gt;=2,"Yes","No"))</x:f>
        <x:v>No</x:v>
      </x:c>
      <x:c r="I170" s="11" t="n">
        <x:f>IF(C170=0,"",INT(G170/100)-INT(F170/100)+1)</x:f>
        <x:v>1</x:v>
      </x:c>
      <x:c r="J170" s="11" t="str">
        <x:v>Romance / New Adult</x:v>
      </x:c>
      <x:c r="K170" s="11" t="str">
        <x:v>LYX</x:v>
      </x:c>
      <x:c r="L170" s="11" t="str">
        <x:v>2023-03-22</x:v>
      </x:c>
      <x:c r="M170" s="11" t="str">
        <x:v>978-3-7363-1888-5</x:v>
      </x:c>
      <x:c r="N170" s="11" t="str">
        <x:v>Yes</x:v>
      </x:c>
      <x:c r="O170" s="11" t="n">
        <x:v>3</x:v>
      </x:c>
      <x:c r="P170" s="11" t="str">
        <x:v>No</x:v>
      </x:c>
      <x:c r="Q170" s="11" t="str">
        <x:v>Full verified</x:v>
      </x:c>
    </x:row>
    <x:row r="171">
      <x:c r="A171" s="11" t="str">
        <x:v>Zerbrich uns. Nicht.</x:v>
      </x:c>
      <x:c r="B171" s="11" t="str">
        <x:v>Laura Kneidl</x:v>
      </x:c>
      <x:c r="C171" s="11" t="n">
        <x:f>COUNTIFS(Rankings_Master!$D$2:$D$788,A171,Rankings_Master!$E$2:$E$788,B171,Rankings_Master!$J$2:$J$788,"Yes")</x:f>
        <x:v>2</x:v>
      </x:c>
      <x:c r="D171" s="11" t="n">
        <x:f>IF(C171=0,"",MINIFS(Rankings_Master!$B$2:$B$788,Rankings_Master!$D$2:$D$788,A171,Rankings_Master!$E$2:$E$788,B171,Rankings_Master!$J$2:$J$788,"Yes"))</x:f>
        <x:v>17</x:v>
      </x:c>
      <x:c r="E171" s="14" t="n">
        <x:f>IF(C171=0,"",SUMIFS(Rankings_Master!$B$2:$B$788,Rankings_Master!$D$2:$D$788,A171,Rankings_Master!$E$2:$E$788,B171,Rankings_Master!$J$2:$J$788,"Yes")/C171)</x:f>
        <x:v>17.5</x:v>
      </x:c>
      <x:c r="F171" s="11" t="n">
        <x:f>IF(C171=0,"",MINIFS(Rankings_Master!$H$2:$H$788,Rankings_Master!$D$2:$D$788,A171,Rankings_Master!$E$2:$E$788,B171,Rankings_Master!$J$2:$J$788,"Yes"))</x:f>
        <x:v>202306</x:v>
      </x:c>
      <x:c r="G171" s="11" t="n">
        <x:f>IF(C171=0,"",MAXIFS(Rankings_Master!$H$2:$H$788,Rankings_Master!$D$2:$D$788,A171,Rankings_Master!$E$2:$E$788,B171,Rankings_Master!$J$2:$J$788,"Yes"))</x:f>
        <x:v>202307</x:v>
      </x:c>
      <x:c r="H171" s="11" t="str">
        <x:f>IF(C171=0,"Partial only",IF(C171&gt;=2,"Yes","No"))</x:f>
        <x:v>Yes</x:v>
      </x:c>
      <x:c r="I171" s="11" t="n">
        <x:f>IF(C171=0,"",INT(G171/100)-INT(F171/100)+1)</x:f>
        <x:v>1</x:v>
      </x:c>
      <x:c r="J171" s="11" t="str">
        <x:v>Romance / New Adult</x:v>
      </x:c>
      <x:c r="K171" s="11" t="str">
        <x:v>LYX</x:v>
      </x:c>
      <x:c r="L171" s="11" t="str">
        <x:v>2023-06-28</x:v>
      </x:c>
      <x:c r="M171" s="11" t="str">
        <x:v>978-3-7363-1933-2</x:v>
      </x:c>
      <x:c r="N171" s="11" t="str">
        <x:v>Yes</x:v>
      </x:c>
      <x:c r="O171" s="11" t="n">
        <x:v>4</x:v>
      </x:c>
      <x:c r="P171" s="11"/>
      <x:c r="Q171" s="11" t="str">
        <x:v>Full verified</x:v>
      </x:c>
    </x:row>
    <x:row r="172">
      <x:c r="A172" s="11" t="str">
        <x:v>If he had been with me</x:v>
      </x:c>
      <x:c r="B172" s="11" t="str">
        <x:v>Laura Nowlin</x:v>
      </x:c>
      <x:c r="C172" s="11" t="n">
        <x:f>COUNTIFS(Rankings_Master!$D$2:$D$788,A172,Rankings_Master!$E$2:$E$788,B172,Rankings_Master!$J$2:$J$788,"Yes")</x:f>
        <x:v>3</x:v>
      </x:c>
      <x:c r="D172" s="11" t="n">
        <x:f>IF(C172=0,"",MINIFS(Rankings_Master!$B$2:$B$788,Rankings_Master!$D$2:$D$788,A172,Rankings_Master!$E$2:$E$788,B172,Rankings_Master!$J$2:$J$788,"Yes"))</x:f>
        <x:v>14</x:v>
      </x:c>
      <x:c r="E172" s="14" t="n">
        <x:f>IF(C172=0,"",SUMIFS(Rankings_Master!$B$2:$B$788,Rankings_Master!$D$2:$D$788,A172,Rankings_Master!$E$2:$E$788,B172,Rankings_Master!$J$2:$J$788,"Yes")/C172)</x:f>
        <x:v>15.333333333333334</x:v>
      </x:c>
      <x:c r="F172" s="11" t="n">
        <x:f>IF(C172=0,"",MINIFS(Rankings_Master!$H$2:$H$788,Rankings_Master!$D$2:$D$788,A172,Rankings_Master!$E$2:$E$788,B172,Rankings_Master!$J$2:$J$788,"Yes"))</x:f>
        <x:v>202306</x:v>
      </x:c>
      <x:c r="G172" s="11" t="n">
        <x:f>IF(C172=0,"",MAXIFS(Rankings_Master!$H$2:$H$788,Rankings_Master!$D$2:$D$788,A172,Rankings_Master!$E$2:$E$788,B172,Rankings_Master!$J$2:$J$788,"Yes"))</x:f>
        <x:v>202308</x:v>
      </x:c>
      <x:c r="H172" s="11" t="str">
        <x:f>IF(C172=0,"Partial only",IF(C172&gt;=2,"Yes","No"))</x:f>
        <x:v>Yes</x:v>
      </x:c>
      <x:c r="I172" s="11" t="n">
        <x:f>IF(C172=0,"",INT(G172/100)-INT(F172/100)+1)</x:f>
        <x:v>1</x:v>
      </x:c>
      <x:c r="J172" s="11" t="str">
        <x:v>YA Romance</x:v>
      </x:c>
      <x:c r="K172" s="11" t="str">
        <x:v>Penguin</x:v>
      </x:c>
      <x:c r="L172" s="11" t="str">
        <x:v>2023</x:v>
      </x:c>
      <x:c r="M172" s="11" t="str">
        <x:v>978-3-328-11098-9</x:v>
      </x:c>
      <x:c r="N172" s="11" t="str">
        <x:v>Yes</x:v>
      </x:c>
      <x:c r="O172" s="11" t="n">
        <x:v>1</x:v>
      </x:c>
      <x:c r="P172" s="11" t="str">
        <x:v>No</x:v>
      </x:c>
      <x:c r="Q172" s="11" t="str">
        <x:v>Full verified</x:v>
      </x:c>
    </x:row>
    <x:row r="173">
      <x:c r="A173" s="11" t="str">
        <x:v>If only I had told her</x:v>
      </x:c>
      <x:c r="B173" s="11" t="str">
        <x:v>Laura Nowlin</x:v>
      </x:c>
      <x:c r="C173" s="11" t="n">
        <x:f>COUNTIFS(Rankings_Master!$D$2:$D$788,A173,Rankings_Master!$E$2:$E$788,B173,Rankings_Master!$J$2:$J$788,"Yes")</x:f>
        <x:v>1</x:v>
      </x:c>
      <x:c r="D173" s="11" t="n">
        <x:f>IF(C173=0,"",MINIFS(Rankings_Master!$B$2:$B$788,Rankings_Master!$D$2:$D$788,A173,Rankings_Master!$E$2:$E$788,B173,Rankings_Master!$J$2:$J$788,"Yes"))</x:f>
        <x:v>12</x:v>
      </x:c>
      <x:c r="E173" s="14" t="n">
        <x:f>IF(C173=0,"",SUMIFS(Rankings_Master!$B$2:$B$788,Rankings_Master!$D$2:$D$788,A173,Rankings_Master!$E$2:$E$788,B173,Rankings_Master!$J$2:$J$788,"Yes")/C173)</x:f>
        <x:v>12</x:v>
      </x:c>
      <x:c r="F173" s="11" t="n">
        <x:f>IF(C173=0,"",MINIFS(Rankings_Master!$H$2:$H$788,Rankings_Master!$D$2:$D$788,A173,Rankings_Master!$E$2:$E$788,B173,Rankings_Master!$J$2:$J$788,"Yes"))</x:f>
        <x:v>202402</x:v>
      </x:c>
      <x:c r="G173" s="11" t="n">
        <x:f>IF(C173=0,"",MAXIFS(Rankings_Master!$H$2:$H$788,Rankings_Master!$D$2:$D$788,A173,Rankings_Master!$E$2:$E$788,B173,Rankings_Master!$J$2:$J$788,"Yes"))</x:f>
        <x:v>202402</x:v>
      </x:c>
      <x:c r="H173" s="11" t="str">
        <x:f>IF(C173=0,"Partial only",IF(C173&gt;=2,"Yes","No"))</x:f>
        <x:v>No</x:v>
      </x:c>
      <x:c r="I173" s="11" t="n">
        <x:f>IF(C173=0,"",INT(G173/100)-INT(F173/100)+1)</x:f>
        <x:v>1</x:v>
      </x:c>
      <x:c r="J173" s="11" t="str">
        <x:v>YA Romance</x:v>
      </x:c>
      <x:c r="K173" s="11" t="str">
        <x:v>Penguin</x:v>
      </x:c>
      <x:c r="L173" s="11" t="str">
        <x:v>2024-02-14</x:v>
      </x:c>
      <x:c r="M173" s="11" t="str">
        <x:v>978-3-328-11110-8</x:v>
      </x:c>
      <x:c r="N173" s="11" t="str">
        <x:v>Yes</x:v>
      </x:c>
      <x:c r="O173" s="11" t="n">
        <x:v>2</x:v>
      </x:c>
      <x:c r="P173" s="11" t="str">
        <x:v>No</x:v>
      </x:c>
      <x:c r="Q173" s="11" t="str">
        <x:v>Full verified</x:v>
      </x:c>
    </x:row>
    <x:row r="174">
      <x:c r="A174" s="11" t="str">
        <x:v>Dreamland Billionaires - Terms and Conditions</x:v>
      </x:c>
      <x:c r="B174" s="11" t="str">
        <x:v>Lauren Asher</x:v>
      </x:c>
      <x:c r="C174" s="11" t="n">
        <x:f>COUNTIFS(Rankings_Master!$D$2:$D$788,A174,Rankings_Master!$E$2:$E$788,B174,Rankings_Master!$J$2:$J$788,"Yes")</x:f>
        <x:v>1</x:v>
      </x:c>
      <x:c r="D174" s="11" t="n">
        <x:f>IF(C174=0,"",MINIFS(Rankings_Master!$B$2:$B$788,Rankings_Master!$D$2:$D$788,A174,Rankings_Master!$E$2:$E$788,B174,Rankings_Master!$J$2:$J$788,"Yes"))</x:f>
        <x:v>17</x:v>
      </x:c>
      <x:c r="E174" s="14" t="n">
        <x:f>IF(C174=0,"",SUMIFS(Rankings_Master!$B$2:$B$788,Rankings_Master!$D$2:$D$788,A174,Rankings_Master!$E$2:$E$788,B174,Rankings_Master!$J$2:$J$788,"Yes")/C174)</x:f>
        <x:v>17</x:v>
      </x:c>
      <x:c r="F174" s="11" t="n">
        <x:f>IF(C174=0,"",MINIFS(Rankings_Master!$H$2:$H$788,Rankings_Master!$D$2:$D$788,A174,Rankings_Master!$E$2:$E$788,B174,Rankings_Master!$J$2:$J$788,"Yes"))</x:f>
        <x:v>202309</x:v>
      </x:c>
      <x:c r="G174" s="11" t="n">
        <x:f>IF(C174=0,"",MAXIFS(Rankings_Master!$H$2:$H$788,Rankings_Master!$D$2:$D$788,A174,Rankings_Master!$E$2:$E$788,B174,Rankings_Master!$J$2:$J$788,"Yes"))</x:f>
        <x:v>202309</x:v>
      </x:c>
      <x:c r="H174" s="11" t="str">
        <x:f>IF(C174=0,"Partial only",IF(C174&gt;=2,"Yes","No"))</x:f>
        <x:v>No</x:v>
      </x:c>
      <x:c r="I174" s="11" t="n">
        <x:f>IF(C174=0,"",INT(G174/100)-INT(F174/100)+1)</x:f>
        <x:v>1</x:v>
      </x:c>
      <x:c r="J174" s="11" t="str">
        <x:v>Romance / New Adult</x:v>
      </x:c>
      <x:c r="K174" s="11" t="str">
        <x:v>Heyne</x:v>
      </x:c>
      <x:c r="L174" s="11" t="str">
        <x:v>2023-09</x:v>
      </x:c>
      <x:c r="M174" s="11" t="str">
        <x:v>978-3-641-30063-0</x:v>
      </x:c>
      <x:c r="N174" s="11" t="str">
        <x:v>Yes</x:v>
      </x:c>
      <x:c r="O174" s="11" t="n">
        <x:v>2</x:v>
      </x:c>
      <x:c r="P174" s="11" t="str">
        <x:v>No</x:v>
      </x:c>
      <x:c r="Q174" s="11" t="str">
        <x:v>Full verified</x:v>
      </x:c>
    </x:row>
    <x:row r="175">
      <x:c r="A175" s="11" t="str">
        <x:v>Dreamland Billionaires - The Fine Print</x:v>
      </x:c>
      <x:c r="B175" s="11" t="str">
        <x:v>Lauren Asher</x:v>
      </x:c>
      <x:c r="C175" s="11" t="n">
        <x:f>COUNTIFS(Rankings_Master!$D$2:$D$788,A175,Rankings_Master!$E$2:$E$788,B175,Rankings_Master!$J$2:$J$788,"Yes")</x:f>
        <x:v>2</x:v>
      </x:c>
      <x:c r="D175" s="11" t="n">
        <x:f>IF(C175=0,"",MINIFS(Rankings_Master!$B$2:$B$788,Rankings_Master!$D$2:$D$788,A175,Rankings_Master!$E$2:$E$788,B175,Rankings_Master!$J$2:$J$788,"Yes"))</x:f>
        <x:v>12</x:v>
      </x:c>
      <x:c r="E175" s="14" t="n">
        <x:f>IF(C175=0,"",SUMIFS(Rankings_Master!$B$2:$B$788,Rankings_Master!$D$2:$D$788,A175,Rankings_Master!$E$2:$E$788,B175,Rankings_Master!$J$2:$J$788,"Yes")/C175)</x:f>
        <x:v>15.5</x:v>
      </x:c>
      <x:c r="F175" s="11" t="n">
        <x:f>IF(C175=0,"",MINIFS(Rankings_Master!$H$2:$H$788,Rankings_Master!$D$2:$D$788,A175,Rankings_Master!$E$2:$E$788,B175,Rankings_Master!$J$2:$J$788,"Yes"))</x:f>
        <x:v>202306</x:v>
      </x:c>
      <x:c r="G175" s="11" t="n">
        <x:f>IF(C175=0,"",MAXIFS(Rankings_Master!$H$2:$H$788,Rankings_Master!$D$2:$D$788,A175,Rankings_Master!$E$2:$E$788,B175,Rankings_Master!$J$2:$J$788,"Yes"))</x:f>
        <x:v>202307</x:v>
      </x:c>
      <x:c r="H175" s="11" t="str">
        <x:f>IF(C175=0,"Partial only",IF(C175&gt;=2,"Yes","No"))</x:f>
        <x:v>Yes</x:v>
      </x:c>
      <x:c r="I175" s="11" t="n">
        <x:f>IF(C175=0,"",INT(G175/100)-INT(F175/100)+1)</x:f>
        <x:v>1</x:v>
      </x:c>
      <x:c r="J175" s="11" t="str">
        <x:v>Romance / New Adult</x:v>
      </x:c>
      <x:c r="K175" s="11" t="str">
        <x:v>Heyne</x:v>
      </x:c>
      <x:c r="L175" s="11" t="str">
        <x:v>2023-06-14</x:v>
      </x:c>
      <x:c r="M175" s="11" t="str">
        <x:v>978-3-453-42739-6</x:v>
      </x:c>
      <x:c r="N175" s="11" t="str">
        <x:v>Yes</x:v>
      </x:c>
      <x:c r="O175" s="11" t="n">
        <x:v>1</x:v>
      </x:c>
      <x:c r="P175" s="11" t="str">
        <x:v>No</x:v>
      </x:c>
      <x:c r="Q175" s="11" t="str">
        <x:v>Full verified</x:v>
      </x:c>
    </x:row>
    <x:row r="176">
      <x:c r="A176" s="11" t="str">
        <x:v>Powerless - Das Spiel</x:v>
      </x:c>
      <x:c r="B176" s="11" t="str">
        <x:v>Lauren Roberts</x:v>
      </x:c>
      <x:c r="C176" s="11" t="n">
        <x:f>COUNTIFS(Rankings_Master!$D$2:$D$788,A176,Rankings_Master!$E$2:$E$788,B176,Rankings_Master!$J$2:$J$788,"Yes")</x:f>
        <x:v>5</x:v>
      </x:c>
      <x:c r="D176" s="11" t="n">
        <x:f>IF(C176=0,"",MINIFS(Rankings_Master!$B$2:$B$788,Rankings_Master!$D$2:$D$788,A176,Rankings_Master!$E$2:$E$788,B176,Rankings_Master!$J$2:$J$788,"Yes"))</x:f>
        <x:v>2</x:v>
      </x:c>
      <x:c r="E176" s="14" t="n">
        <x:f>IF(C176=0,"",SUMIFS(Rankings_Master!$B$2:$B$788,Rankings_Master!$D$2:$D$788,A176,Rankings_Master!$E$2:$E$788,B176,Rankings_Master!$J$2:$J$788,"Yes")/C176)</x:f>
        <x:v>8</x:v>
      </x:c>
      <x:c r="F176" s="11" t="n">
        <x:f>IF(C176=0,"",MINIFS(Rankings_Master!$H$2:$H$788,Rankings_Master!$D$2:$D$788,A176,Rankings_Master!$E$2:$E$788,B176,Rankings_Master!$J$2:$J$788,"Yes"))</x:f>
        <x:v>202404</x:v>
      </x:c>
      <x:c r="G176" s="11" t="n">
        <x:f>IF(C176=0,"",MAXIFS(Rankings_Master!$H$2:$H$788,Rankings_Master!$D$2:$D$788,A176,Rankings_Master!$E$2:$E$788,B176,Rankings_Master!$J$2:$J$788,"Yes"))</x:f>
        <x:v>202409</x:v>
      </x:c>
      <x:c r="H176" s="11" t="str">
        <x:f>IF(C176=0,"Partial only",IF(C176&gt;=2,"Yes","No"))</x:f>
        <x:v>Yes</x:v>
      </x:c>
      <x:c r="I176" s="11" t="n">
        <x:f>IF(C176=0,"",INT(G176/100)-INT(F176/100)+1)</x:f>
        <x:v>1</x:v>
      </x:c>
      <x:c r="J176" s="11" t="str">
        <x:v>Fantasy / Romantasy</x:v>
      </x:c>
      <x:c r="K176" s="11" t="str">
        <x:v>Penhaligon</x:v>
      </x:c>
      <x:c r="L176" s="11" t="str">
        <x:v>2024-08-14</x:v>
      </x:c>
      <x:c r="M176" s="11" t="str">
        <x:v>978-3-7645-3318-2</x:v>
      </x:c>
      <x:c r="N176" s="11" t="str">
        <x:v>Yes</x:v>
      </x:c>
      <x:c r="O176" s="11" t="n">
        <x:v>1</x:v>
      </x:c>
      <x:c r="P176" s="11" t="str">
        <x:v>No</x:v>
      </x:c>
      <x:c r="Q176" s="11" t="str">
        <x:v>Full verified</x:v>
      </x:c>
    </x:row>
    <x:row r="177">
      <x:c r="A177" s="11" t="str">
        <x:v>Powerless – Der Thron</x:v>
      </x:c>
      <x:c r="B177" s="11" t="str">
        <x:v>Lauren Roberts</x:v>
      </x:c>
      <x:c r="C177" s="11" t="n">
        <x:f>COUNTIFS(Rankings_Master!$D$2:$D$788,A177,Rankings_Master!$E$2:$E$788,B177,Rankings_Master!$J$2:$J$788,"Yes")</x:f>
        <x:v>3</x:v>
      </x:c>
      <x:c r="D177" s="11" t="n">
        <x:f>IF(C177=0,"",MINIFS(Rankings_Master!$B$2:$B$788,Rankings_Master!$D$2:$D$788,A177,Rankings_Master!$E$2:$E$788,B177,Rankings_Master!$J$2:$J$788,"Yes"))</x:f>
        <x:v>7</x:v>
      </x:c>
      <x:c r="E177" s="14" t="n">
        <x:f>IF(C177=0,"",SUMIFS(Rankings_Master!$B$2:$B$788,Rankings_Master!$D$2:$D$788,A177,Rankings_Master!$E$2:$E$788,B177,Rankings_Master!$J$2:$J$788,"Yes")/C177)</x:f>
        <x:v>13.333333333333334</x:v>
      </x:c>
      <x:c r="F177" s="11" t="n">
        <x:f>IF(C177=0,"",MINIFS(Rankings_Master!$H$2:$H$788,Rankings_Master!$D$2:$D$788,A177,Rankings_Master!$E$2:$E$788,B177,Rankings_Master!$J$2:$J$788,"Yes"))</x:f>
        <x:v>202504</x:v>
      </x:c>
      <x:c r="G177" s="11" t="n">
        <x:f>IF(C177=0,"",MAXIFS(Rankings_Master!$H$2:$H$788,Rankings_Master!$D$2:$D$788,A177,Rankings_Master!$E$2:$E$788,B177,Rankings_Master!$J$2:$J$788,"Yes"))</x:f>
        <x:v>202509</x:v>
      </x:c>
      <x:c r="H177" s="11" t="str">
        <x:f>IF(C177=0,"Partial only",IF(C177&gt;=2,"Yes","No"))</x:f>
        <x:v>Yes</x:v>
      </x:c>
      <x:c r="I177" s="11" t="n">
        <x:f>IF(C177=0,"",INT(G177/100)-INT(F177/100)+1)</x:f>
        <x:v>1</x:v>
      </x:c>
      <x:c r="J177" s="11" t="str">
        <x:v>Fantasy / Romantasy</x:v>
      </x:c>
      <x:c r="K177" s="11" t="str">
        <x:v>Penhaligon</x:v>
      </x:c>
      <x:c r="L177" s="11" t="str">
        <x:v>2025-08-27</x:v>
      </x:c>
      <x:c r="M177" s="11" t="str">
        <x:v>978-3-7645-3328-1</x:v>
      </x:c>
      <x:c r="N177" s="11" t="str">
        <x:v>Yes</x:v>
      </x:c>
      <x:c r="O177" s="11" t="n">
        <x:v>3</x:v>
      </x:c>
      <x:c r="P177" s="11" t="str">
        <x:v>No</x:v>
      </x:c>
      <x:c r="Q177" s="11" t="str">
        <x:v>Full verified</x:v>
      </x:c>
    </x:row>
    <x:row r="178">
      <x:c r="A178" s="11" t="str">
        <x:v>Reckless</x:v>
      </x:c>
      <x:c r="B178" s="11" t="str">
        <x:v>Lauren Roberts</x:v>
      </x:c>
      <x:c r="C178" s="11" t="n">
        <x:f>COUNTIFS(Rankings_Master!$D$2:$D$788,A178,Rankings_Master!$E$2:$E$788,B178,Rankings_Master!$J$2:$J$788,"Yes")</x:f>
        <x:v>2</x:v>
      </x:c>
      <x:c r="D178" s="11" t="n">
        <x:f>IF(C178=0,"",MINIFS(Rankings_Master!$B$2:$B$788,Rankings_Master!$D$2:$D$788,A178,Rankings_Master!$E$2:$E$788,B178,Rankings_Master!$J$2:$J$788,"Yes"))</x:f>
        <x:v>6</x:v>
      </x:c>
      <x:c r="E178" s="14" t="n">
        <x:f>IF(C178=0,"",SUMIFS(Rankings_Master!$B$2:$B$788,Rankings_Master!$D$2:$D$788,A178,Rankings_Master!$E$2:$E$788,B178,Rankings_Master!$J$2:$J$788,"Yes")/C178)</x:f>
        <x:v>12</x:v>
      </x:c>
      <x:c r="F178" s="11" t="n">
        <x:f>IF(C178=0,"",MINIFS(Rankings_Master!$H$2:$H$788,Rankings_Master!$D$2:$D$788,A178,Rankings_Master!$E$2:$E$788,B178,Rankings_Master!$J$2:$J$788,"Yes"))</x:f>
        <x:v>202407</x:v>
      </x:c>
      <x:c r="G178" s="11" t="n">
        <x:f>IF(C178=0,"",MAXIFS(Rankings_Master!$H$2:$H$788,Rankings_Master!$D$2:$D$788,A178,Rankings_Master!$E$2:$E$788,B178,Rankings_Master!$J$2:$J$788,"Yes"))</x:f>
        <x:v>202408</x:v>
      </x:c>
      <x:c r="H178" s="11" t="str">
        <x:f>IF(C178=0,"Partial only",IF(C178&gt;=2,"Yes","No"))</x:f>
        <x:v>Yes</x:v>
      </x:c>
      <x:c r="I178" s="11" t="n">
        <x:f>IF(C178=0,"",INT(G178/100)-INT(F178/100)+1)</x:f>
        <x:v>1</x:v>
      </x:c>
      <x:c r="J178" s="11" t="str">
        <x:v>Fantasy / Romantasy</x:v>
      </x:c>
      <x:c r="K178" s="11" t="str">
        <x:v>Penhaligon</x:v>
      </x:c>
      <x:c r="L178" s="11" t="str">
        <x:v>2024-10-16</x:v>
      </x:c>
      <x:c r="M178" s="11" t="str">
        <x:v>978-3-7645-3324-3</x:v>
      </x:c>
      <x:c r="N178" s="11" t="str">
        <x:v>Yes</x:v>
      </x:c>
      <x:c r="O178" s="11" t="n">
        <x:v>2</x:v>
      </x:c>
      <x:c r="P178" s="11" t="str">
        <x:v>No</x:v>
      </x:c>
      <x:c r="Q178" s="11" t="str">
        <x:v>Full verified</x:v>
      </x:c>
    </x:row>
    <x:row r="179">
      <x:c r="A179" s="11" t="str">
        <x:v>Meet me in Autumn. Eine Pumpkin spiced Romance</x:v>
      </x:c>
      <x:c r="B179" s="11" t="str">
        <x:v>Laurie Gilmore</x:v>
      </x:c>
      <x:c r="C179" s="11" t="n">
        <x:f>COUNTIFS(Rankings_Master!$D$2:$D$788,A179,Rankings_Master!$E$2:$E$788,B179,Rankings_Master!$J$2:$J$788,"Yes")</x:f>
        <x:v>1</x:v>
      </x:c>
      <x:c r="D179" s="11" t="n">
        <x:f>IF(C179=0,"",MINIFS(Rankings_Master!$B$2:$B$788,Rankings_Master!$D$2:$D$788,A179,Rankings_Master!$E$2:$E$788,B179,Rankings_Master!$J$2:$J$788,"Yes"))</x:f>
        <x:v>18</x:v>
      </x:c>
      <x:c r="E179" s="14" t="n">
        <x:f>IF(C179=0,"",SUMIFS(Rankings_Master!$B$2:$B$788,Rankings_Master!$D$2:$D$788,A179,Rankings_Master!$E$2:$E$788,B179,Rankings_Master!$J$2:$J$788,"Yes")/C179)</x:f>
        <x:v>18</x:v>
      </x:c>
      <x:c r="F179" s="11" t="n">
        <x:f>IF(C179=0,"",MINIFS(Rankings_Master!$H$2:$H$788,Rankings_Master!$D$2:$D$788,A179,Rankings_Master!$E$2:$E$788,B179,Rankings_Master!$J$2:$J$788,"Yes"))</x:f>
        <x:v>202509</x:v>
      </x:c>
      <x:c r="G179" s="11" t="n">
        <x:f>IF(C179=0,"",MAXIFS(Rankings_Master!$H$2:$H$788,Rankings_Master!$D$2:$D$788,A179,Rankings_Master!$E$2:$E$788,B179,Rankings_Master!$J$2:$J$788,"Yes"))</x:f>
        <x:v>202509</x:v>
      </x:c>
      <x:c r="H179" s="11" t="str">
        <x:f>IF(C179=0,"Partial only",IF(C179&gt;=2,"Yes","No"))</x:f>
        <x:v>No</x:v>
      </x:c>
      <x:c r="I179" s="11" t="n">
        <x:f>IF(C179=0,"",INT(G179/100)-INT(F179/100)+1)</x:f>
        <x:v>1</x:v>
      </x:c>
      <x:c r="J179" s="11" t="str">
        <x:v>Romance / Contemporary</x:v>
      </x:c>
      <x:c r="K179" s="11" t="str">
        <x:v>HarperCollins</x:v>
      </x:c>
      <x:c r="L179" s="11" t="str">
        <x:v>2024-08-20</x:v>
      </x:c>
      <x:c r="M179" s="11" t="str">
        <x:v>978-3-365-00822-5</x:v>
      </x:c>
      <x:c r="N179" s="11" t="str">
        <x:v>Yes</x:v>
      </x:c>
      <x:c r="O179" s="11" t="n">
        <x:v>1</x:v>
      </x:c>
      <x:c r="P179" s="11" t="str">
        <x:v>No</x:v>
      </x:c>
      <x:c r="Q179" s="11" t="str">
        <x:v>Full verified</x:v>
      </x:c>
    </x:row>
    <x:row r="180">
      <x:c r="A180" s="11" t="str">
        <x:v>Little Liar</x:v>
      </x:c>
      <x:c r="B180" s="11" t="str">
        <x:v>Leigh Rivers</x:v>
      </x:c>
      <x:c r="C180" s="11" t="n">
        <x:f>COUNTIFS(Rankings_Master!$D$2:$D$788,A180,Rankings_Master!$E$2:$E$788,B180,Rankings_Master!$J$2:$J$788,"Yes")</x:f>
        <x:v>1</x:v>
      </x:c>
      <x:c r="D180" s="11" t="n">
        <x:f>IF(C180=0,"",MINIFS(Rankings_Master!$B$2:$B$788,Rankings_Master!$D$2:$D$788,A180,Rankings_Master!$E$2:$E$788,B180,Rankings_Master!$J$2:$J$788,"Yes"))</x:f>
        <x:v>1</x:v>
      </x:c>
      <x:c r="E180" s="14" t="n">
        <x:f>IF(C180=0,"",SUMIFS(Rankings_Master!$B$2:$B$788,Rankings_Master!$D$2:$D$788,A180,Rankings_Master!$E$2:$E$788,B180,Rankings_Master!$J$2:$J$788,"Yes")/C180)</x:f>
        <x:v>1</x:v>
      </x:c>
      <x:c r="F180" s="11" t="n">
        <x:f>IF(C180=0,"",MINIFS(Rankings_Master!$H$2:$H$788,Rankings_Master!$D$2:$D$788,A180,Rankings_Master!$E$2:$E$788,B180,Rankings_Master!$J$2:$J$788,"Yes"))</x:f>
        <x:v>202512</x:v>
      </x:c>
      <x:c r="G180" s="11" t="n">
        <x:f>IF(C180=0,"",MAXIFS(Rankings_Master!$H$2:$H$788,Rankings_Master!$D$2:$D$788,A180,Rankings_Master!$E$2:$E$788,B180,Rankings_Master!$J$2:$J$788,"Yes"))</x:f>
        <x:v>202512</x:v>
      </x:c>
      <x:c r="H180" s="11" t="str">
        <x:f>IF(C180=0,"Partial only",IF(C180&gt;=2,"Yes","No"))</x:f>
        <x:v>No</x:v>
      </x:c>
      <x:c r="I180" s="11" t="n">
        <x:f>IF(C180=0,"",INT(G180/100)-INT(F180/100)+1)</x:f>
        <x:v>1</x:v>
      </x:c>
      <x:c r="J180" s="11" t="str">
        <x:v>Dark Romance</x:v>
      </x:c>
      <x:c r="K180" s="11" t="str">
        <x:v>VAJONA</x:v>
      </x:c>
      <x:c r="L180" s="11" t="str">
        <x:v>2025-12-17</x:v>
      </x:c>
      <x:c r="M180" s="11"/>
      <x:c r="N180" s="11" t="str">
        <x:v>No</x:v>
      </x:c>
      <x:c r="O180" s="11"/>
      <x:c r="P180" s="11" t="str">
        <x:v>No</x:v>
      </x:c>
      <x:c r="Q180" s="11" t="str">
        <x:v>Core verified</x:v>
      </x:c>
    </x:row>
    <x:row r="181">
      <x:c r="A181" s="11" t="str">
        <x:v>Little Stranger</x:v>
      </x:c>
      <x:c r="B181" s="11" t="str">
        <x:v>Leigh Rivers</x:v>
      </x:c>
      <x:c r="C181" s="11" t="n">
        <x:f>COUNTIFS(Rankings_Master!$D$2:$D$788,A181,Rankings_Master!$E$2:$E$788,B181,Rankings_Master!$J$2:$J$788,"Yes")</x:f>
        <x:v>1</x:v>
      </x:c>
      <x:c r="D181" s="11" t="n">
        <x:f>IF(C181=0,"",MINIFS(Rankings_Master!$B$2:$B$788,Rankings_Master!$D$2:$D$788,A181,Rankings_Master!$E$2:$E$788,B181,Rankings_Master!$J$2:$J$788,"Yes"))</x:f>
        <x:v>1</x:v>
      </x:c>
      <x:c r="E181" s="14" t="n">
        <x:f>IF(C181=0,"",SUMIFS(Rankings_Master!$B$2:$B$788,Rankings_Master!$D$2:$D$788,A181,Rankings_Master!$E$2:$E$788,B181,Rankings_Master!$J$2:$J$788,"Yes")/C181)</x:f>
        <x:v>1</x:v>
      </x:c>
      <x:c r="F181" s="11" t="n">
        <x:f>IF(C181=0,"",MINIFS(Rankings_Master!$H$2:$H$788,Rankings_Master!$D$2:$D$788,A181,Rankings_Master!$E$2:$E$788,B181,Rankings_Master!$J$2:$J$788,"Yes"))</x:f>
        <x:v>202509</x:v>
      </x:c>
      <x:c r="G181" s="11" t="n">
        <x:f>IF(C181=0,"",MAXIFS(Rankings_Master!$H$2:$H$788,Rankings_Master!$D$2:$D$788,A181,Rankings_Master!$E$2:$E$788,B181,Rankings_Master!$J$2:$J$788,"Yes"))</x:f>
        <x:v>202509</x:v>
      </x:c>
      <x:c r="H181" s="11" t="str">
        <x:f>IF(C181=0,"Partial only",IF(C181&gt;=2,"Yes","No"))</x:f>
        <x:v>No</x:v>
      </x:c>
      <x:c r="I181" s="11" t="n">
        <x:f>IF(C181=0,"",INT(G181/100)-INT(F181/100)+1)</x:f>
        <x:v>1</x:v>
      </x:c>
      <x:c r="J181" s="11" t="str">
        <x:v>Dark Romance</x:v>
      </x:c>
      <x:c r="K181" s="11" t="str">
        <x:v>VAJONA</x:v>
      </x:c>
      <x:c r="L181" s="11" t="str">
        <x:v>2025-09-17</x:v>
      </x:c>
      <x:c r="M181" s="11"/>
      <x:c r="N181" s="11" t="str">
        <x:v>No</x:v>
      </x:c>
      <x:c r="O181" s="11"/>
      <x:c r="P181" s="11" t="str">
        <x:v>No</x:v>
      </x:c>
      <x:c r="Q181" s="11" t="str">
        <x:v>Core verified</x:v>
      </x:c>
    </x:row>
    <x:row r="182">
      <x:c r="A182" s="11" t="str">
        <x:v>Coldhart - Deep &amp; Shallow</x:v>
      </x:c>
      <x:c r="B182" s="11" t="str">
        <x:v>Lena Kiefer</x:v>
      </x:c>
      <x:c r="C182" s="11" t="n">
        <x:f>COUNTIFS(Rankings_Master!$D$2:$D$788,A182,Rankings_Master!$E$2:$E$788,B182,Rankings_Master!$J$2:$J$788,"Yes")</x:f>
        <x:v>2</x:v>
      </x:c>
      <x:c r="D182" s="11" t="n">
        <x:f>IF(C182=0,"",MINIFS(Rankings_Master!$B$2:$B$788,Rankings_Master!$D$2:$D$788,A182,Rankings_Master!$E$2:$E$788,B182,Rankings_Master!$J$2:$J$788,"Yes"))</x:f>
        <x:v>4</x:v>
      </x:c>
      <x:c r="E182" s="14" t="n">
        <x:f>IF(C182=0,"",SUMIFS(Rankings_Master!$B$2:$B$788,Rankings_Master!$D$2:$D$788,A182,Rankings_Master!$E$2:$E$788,B182,Rankings_Master!$J$2:$J$788,"Yes")/C182)</x:f>
        <x:v>5</x:v>
      </x:c>
      <x:c r="F182" s="11" t="n">
        <x:f>IF(C182=0,"",MINIFS(Rankings_Master!$H$2:$H$788,Rankings_Master!$D$2:$D$788,A182,Rankings_Master!$E$2:$E$788,B182,Rankings_Master!$J$2:$J$788,"Yes"))</x:f>
        <x:v>202405</x:v>
      </x:c>
      <x:c r="G182" s="11" t="n">
        <x:f>IF(C182=0,"",MAXIFS(Rankings_Master!$H$2:$H$788,Rankings_Master!$D$2:$D$788,A182,Rankings_Master!$E$2:$E$788,B182,Rankings_Master!$J$2:$J$788,"Yes"))</x:f>
        <x:v>202406</x:v>
      </x:c>
      <x:c r="H182" s="11" t="str">
        <x:f>IF(C182=0,"Partial only",IF(C182&gt;=2,"Yes","No"))</x:f>
        <x:v>Yes</x:v>
      </x:c>
      <x:c r="I182" s="11" t="n">
        <x:f>IF(C182=0,"",INT(G182/100)-INT(F182/100)+1)</x:f>
        <x:v>1</x:v>
      </x:c>
      <x:c r="J182" s="11" t="str">
        <x:v>Romance / New Adult</x:v>
      </x:c>
      <x:c r="K182" s="11" t="str">
        <x:v>LYX</x:v>
      </x:c>
      <x:c r="L182" s="11" t="str">
        <x:v>2024-05-28</x:v>
      </x:c>
      <x:c r="M182" s="11" t="str">
        <x:v>978-3-7363-2115-1</x:v>
      </x:c>
      <x:c r="N182" s="11" t="str">
        <x:v>Yes</x:v>
      </x:c>
      <x:c r="O182" s="11" t="n">
        <x:v>2</x:v>
      </x:c>
      <x:c r="P182" s="11" t="str">
        <x:v>No</x:v>
      </x:c>
      <x:c r="Q182" s="11" t="str">
        <x:v>Full verified</x:v>
      </x:c>
    </x:row>
    <x:row r="183">
      <x:c r="A183" s="11" t="str">
        <x:v>Coldhart - Strong &amp; Weak</x:v>
      </x:c>
      <x:c r="B183" s="11" t="str">
        <x:v>Lena Kiefer</x:v>
      </x:c>
      <x:c r="C183" s="11" t="n">
        <x:f>COUNTIFS(Rankings_Master!$D$2:$D$788,A183,Rankings_Master!$E$2:$E$788,B183,Rankings_Master!$J$2:$J$788,"Yes")</x:f>
        <x:v>2</x:v>
      </x:c>
      <x:c r="D183" s="11" t="n">
        <x:f>IF(C183=0,"",MINIFS(Rankings_Master!$B$2:$B$788,Rankings_Master!$D$2:$D$788,A183,Rankings_Master!$E$2:$E$788,B183,Rankings_Master!$J$2:$J$788,"Yes"))</x:f>
        <x:v>5</x:v>
      </x:c>
      <x:c r="E183" s="14" t="n">
        <x:f>IF(C183=0,"",SUMIFS(Rankings_Master!$B$2:$B$788,Rankings_Master!$D$2:$D$788,A183,Rankings_Master!$E$2:$E$788,B183,Rankings_Master!$J$2:$J$788,"Yes")/C183)</x:f>
        <x:v>9</x:v>
      </x:c>
      <x:c r="F183" s="11" t="n">
        <x:f>IF(C183=0,"",MINIFS(Rankings_Master!$H$2:$H$788,Rankings_Master!$D$2:$D$788,A183,Rankings_Master!$E$2:$E$788,B183,Rankings_Master!$J$2:$J$788,"Yes"))</x:f>
        <x:v>202401</x:v>
      </x:c>
      <x:c r="G183" s="11" t="n">
        <x:f>IF(C183=0,"",MAXIFS(Rankings_Master!$H$2:$H$788,Rankings_Master!$D$2:$D$788,A183,Rankings_Master!$E$2:$E$788,B183,Rankings_Master!$J$2:$J$788,"Yes"))</x:f>
        <x:v>202403</x:v>
      </x:c>
      <x:c r="H183" s="11" t="str">
        <x:f>IF(C183=0,"Partial only",IF(C183&gt;=2,"Yes","No"))</x:f>
        <x:v>Yes</x:v>
      </x:c>
      <x:c r="I183" s="11" t="n">
        <x:f>IF(C183=0,"",INT(G183/100)-INT(F183/100)+1)</x:f>
        <x:v>1</x:v>
      </x:c>
      <x:c r="J183" s="11" t="str">
        <x:v>Romance / New Adult</x:v>
      </x:c>
      <x:c r="K183" s="11" t="str">
        <x:v>LYX</x:v>
      </x:c>
      <x:c r="L183" s="11" t="str">
        <x:v>2024-01-23</x:v>
      </x:c>
      <x:c r="M183" s="11" t="str">
        <x:v>978-3-7363-2073-4</x:v>
      </x:c>
      <x:c r="N183" s="11" t="str">
        <x:v>Yes</x:v>
      </x:c>
      <x:c r="O183" s="11" t="n">
        <x:v>1</x:v>
      </x:c>
      <x:c r="P183" s="11" t="str">
        <x:v>No</x:v>
      </x:c>
      <x:c r="Q183" s="11" t="str">
        <x:v>Full verified</x:v>
      </x:c>
    </x:row>
    <x:row r="184">
      <x:c r="A184" s="11" t="str">
        <x:v>Royal Fake</x:v>
      </x:c>
      <x:c r="B184" s="11" t="str">
        <x:v>Lena Kiefer</x:v>
      </x:c>
      <x:c r="C184" s="11" t="n">
        <x:f>COUNTIFS(Rankings_Master!$D$2:$D$788,A184,Rankings_Master!$E$2:$E$788,B184,Rankings_Master!$J$2:$J$788,"Yes")</x:f>
        <x:v>1</x:v>
      </x:c>
      <x:c r="D184" s="11" t="n">
        <x:f>IF(C184=0,"",MINIFS(Rankings_Master!$B$2:$B$788,Rankings_Master!$D$2:$D$788,A184,Rankings_Master!$E$2:$E$788,B184,Rankings_Master!$J$2:$J$788,"Yes"))</x:f>
        <x:v>10</x:v>
      </x:c>
      <x:c r="E184" s="14" t="n">
        <x:f>IF(C184=0,"",SUMIFS(Rankings_Master!$B$2:$B$788,Rankings_Master!$D$2:$D$788,A184,Rankings_Master!$E$2:$E$788,B184,Rankings_Master!$J$2:$J$788,"Yes")/C184)</x:f>
        <x:v>10</x:v>
      </x:c>
      <x:c r="F184" s="11" t="n">
        <x:f>IF(C184=0,"",MINIFS(Rankings_Master!$H$2:$H$788,Rankings_Master!$D$2:$D$788,A184,Rankings_Master!$E$2:$E$788,B184,Rankings_Master!$J$2:$J$788,"Yes"))</x:f>
        <x:v>202604</x:v>
      </x:c>
      <x:c r="G184" s="11" t="n">
        <x:f>IF(C184=0,"",MAXIFS(Rankings_Master!$H$2:$H$788,Rankings_Master!$D$2:$D$788,A184,Rankings_Master!$E$2:$E$788,B184,Rankings_Master!$J$2:$J$788,"Yes"))</x:f>
        <x:v>202604</x:v>
      </x:c>
      <x:c r="H184" s="11" t="str">
        <x:f>IF(C184=0,"Partial only",IF(C184&gt;=2,"Yes","No"))</x:f>
        <x:v>No</x:v>
      </x:c>
      <x:c r="I184" s="11" t="n">
        <x:f>IF(C184=0,"",INT(G184/100)-INT(F184/100)+1)</x:f>
        <x:v>1</x:v>
      </x:c>
      <x:c r="J184" s="11" t="str">
        <x:v>Romance / New Adult</x:v>
      </x:c>
      <x:c r="K184" s="11" t="str">
        <x:v>LYX</x:v>
      </x:c>
      <x:c r="L184" s="11" t="str">
        <x:v>2026-04-13</x:v>
      </x:c>
      <x:c r="M184" s="11" t="str">
        <x:v>978-3-7363-2600-2</x:v>
      </x:c>
      <x:c r="N184" s="11" t="str">
        <x:v>Yes</x:v>
      </x:c>
      <x:c r="O184" s="11" t="n">
        <x:v>2</x:v>
      </x:c>
      <x:c r="P184" s="11" t="str">
        <x:v>No</x:v>
      </x:c>
      <x:c r="Q184" s="11" t="str">
        <x:v>Full verified</x:v>
      </x:c>
    </x:row>
    <x:row r="185">
      <x:c r="A185" s="11" t="str">
        <x:v>Royal Heist</x:v>
      </x:c>
      <x:c r="B185" s="11" t="str">
        <x:v>Lena Kiefer</x:v>
      </x:c>
      <x:c r="C185" s="11" t="n">
        <x:f>COUNTIFS(Rankings_Master!$D$2:$D$788,A185,Rankings_Master!$E$2:$E$788,B185,Rankings_Master!$J$2:$J$788,"Yes")</x:f>
        <x:v>2</x:v>
      </x:c>
      <x:c r="D185" s="11" t="n">
        <x:f>IF(C185=0,"",MINIFS(Rankings_Master!$B$2:$B$788,Rankings_Master!$D$2:$D$788,A185,Rankings_Master!$E$2:$E$788,B185,Rankings_Master!$J$2:$J$788,"Yes"))</x:f>
        <x:v>2</x:v>
      </x:c>
      <x:c r="E185" s="14" t="n">
        <x:f>IF(C185=0,"",SUMIFS(Rankings_Master!$B$2:$B$788,Rankings_Master!$D$2:$D$788,A185,Rankings_Master!$E$2:$E$788,B185,Rankings_Master!$J$2:$J$788,"Yes")/C185)</x:f>
        <x:v>10</x:v>
      </x:c>
      <x:c r="F185" s="11" t="n">
        <x:f>IF(C185=0,"",MINIFS(Rankings_Master!$H$2:$H$788,Rankings_Master!$D$2:$D$788,A185,Rankings_Master!$E$2:$E$788,B185,Rankings_Master!$J$2:$J$788,"Yes"))</x:f>
        <x:v>202511</x:v>
      </x:c>
      <x:c r="G185" s="11" t="n">
        <x:f>IF(C185=0,"",MAXIFS(Rankings_Master!$H$2:$H$788,Rankings_Master!$D$2:$D$788,A185,Rankings_Master!$E$2:$E$788,B185,Rankings_Master!$J$2:$J$788,"Yes"))</x:f>
        <x:v>202512</x:v>
      </x:c>
      <x:c r="H185" s="11" t="str">
        <x:f>IF(C185=0,"Partial only",IF(C185&gt;=2,"Yes","No"))</x:f>
        <x:v>Yes</x:v>
      </x:c>
      <x:c r="I185" s="11" t="n">
        <x:f>IF(C185=0,"",INT(G185/100)-INT(F185/100)+1)</x:f>
        <x:v>1</x:v>
      </x:c>
      <x:c r="J185" s="11" t="str">
        <x:v>Romance / New Adult</x:v>
      </x:c>
      <x:c r="K185" s="11" t="str">
        <x:v>LYX</x:v>
      </x:c>
      <x:c r="L185" s="11" t="str">
        <x:v>2025-11</x:v>
      </x:c>
      <x:c r="M185" s="11" t="str">
        <x:v>978-3-7363-2549-4</x:v>
      </x:c>
      <x:c r="N185" s="11" t="str">
        <x:v>Yes</x:v>
      </x:c>
      <x:c r="O185" s="11" t="n">
        <x:v>1</x:v>
      </x:c>
      <x:c r="P185" s="11" t="str">
        <x:v>No</x:v>
      </x:c>
      <x:c r="Q185" s="11" t="str">
        <x:v>Core verified</x:v>
      </x:c>
    </x:row>
    <x:row r="186">
      <x:c r="A186" s="11" t="str">
        <x:v>Westwell - Bright &amp; Dark</x:v>
      </x:c>
      <x:c r="B186" s="11" t="str">
        <x:v>Lena Kiefer</x:v>
      </x:c>
      <x:c r="C186" s="11" t="n">
        <x:f>COUNTIFS(Rankings_Master!$D$2:$D$788,A186,Rankings_Master!$E$2:$E$788,B186,Rankings_Master!$J$2:$J$788,"Yes")</x:f>
        <x:v>2</x:v>
      </x:c>
      <x:c r="D186" s="11" t="n">
        <x:f>IF(C186=0,"",MINIFS(Rankings_Master!$B$2:$B$788,Rankings_Master!$D$2:$D$788,A186,Rankings_Master!$E$2:$E$788,B186,Rankings_Master!$J$2:$J$788,"Yes"))</x:f>
        <x:v>15</x:v>
      </x:c>
      <x:c r="E186" s="14" t="n">
        <x:f>IF(C186=0,"",SUMIFS(Rankings_Master!$B$2:$B$788,Rankings_Master!$D$2:$D$788,A186,Rankings_Master!$E$2:$E$788,B186,Rankings_Master!$J$2:$J$788,"Yes")/C186)</x:f>
        <x:v>15.5</x:v>
      </x:c>
      <x:c r="F186" s="11" t="n">
        <x:f>IF(C186=0,"",MINIFS(Rankings_Master!$H$2:$H$788,Rankings_Master!$D$2:$D$788,A186,Rankings_Master!$E$2:$E$788,B186,Rankings_Master!$J$2:$J$788,"Yes"))</x:f>
        <x:v>202304</x:v>
      </x:c>
      <x:c r="G186" s="11" t="n">
        <x:f>IF(C186=0,"",MAXIFS(Rankings_Master!$H$2:$H$788,Rankings_Master!$D$2:$D$788,A186,Rankings_Master!$E$2:$E$788,B186,Rankings_Master!$J$2:$J$788,"Yes"))</x:f>
        <x:v>202305</x:v>
      </x:c>
      <x:c r="H186" s="11" t="str">
        <x:f>IF(C186=0,"Partial only",IF(C186&gt;=2,"Yes","No"))</x:f>
        <x:v>Yes</x:v>
      </x:c>
      <x:c r="I186" s="11" t="n">
        <x:f>IF(C186=0,"",INT(G186/100)-INT(F186/100)+1)</x:f>
        <x:v>1</x:v>
      </x:c>
      <x:c r="J186" s="11" t="str">
        <x:v>Romance / New Adult</x:v>
      </x:c>
      <x:c r="K186" s="11" t="str">
        <x:v>LYX</x:v>
      </x:c>
      <x:c r="L186" s="11" t="str">
        <x:v>2022</x:v>
      </x:c>
      <x:c r="M186" s="11" t="str">
        <x:v>978-3-7363-1805-2</x:v>
      </x:c>
      <x:c r="N186" s="11" t="str">
        <x:v>Yes</x:v>
      </x:c>
      <x:c r="O186" s="11" t="n">
        <x:v>2</x:v>
      </x:c>
      <x:c r="P186" s="11" t="str">
        <x:v>No</x:v>
      </x:c>
      <x:c r="Q186" s="11" t="str">
        <x:v>Full verified</x:v>
      </x:c>
    </x:row>
    <x:row r="187">
      <x:c r="A187" s="11" t="str">
        <x:v>Westwell - Heavy &amp; Light</x:v>
      </x:c>
      <x:c r="B187" s="11" t="str">
        <x:v>Lena Kiefer</x:v>
      </x:c>
      <x:c r="C187" s="11" t="n">
        <x:f>COUNTIFS(Rankings_Master!$D$2:$D$788,A187,Rankings_Master!$E$2:$E$788,B187,Rankings_Master!$J$2:$J$788,"Yes")</x:f>
        <x:v>2</x:v>
      </x:c>
      <x:c r="D187" s="11" t="n">
        <x:f>IF(C187=0,"",MINIFS(Rankings_Master!$B$2:$B$788,Rankings_Master!$D$2:$D$788,A187,Rankings_Master!$E$2:$E$788,B187,Rankings_Master!$J$2:$J$788,"Yes"))</x:f>
        <x:v>7</x:v>
      </x:c>
      <x:c r="E187" s="14" t="n">
        <x:f>IF(C187=0,"",SUMIFS(Rankings_Master!$B$2:$B$788,Rankings_Master!$D$2:$D$788,A187,Rankings_Master!$E$2:$E$788,B187,Rankings_Master!$J$2:$J$788,"Yes")/C187)</x:f>
        <x:v>9</x:v>
      </x:c>
      <x:c r="F187" s="11" t="n">
        <x:f>IF(C187=0,"",MINIFS(Rankings_Master!$H$2:$H$788,Rankings_Master!$D$2:$D$788,A187,Rankings_Master!$E$2:$E$788,B187,Rankings_Master!$J$2:$J$788,"Yes"))</x:f>
        <x:v>202304</x:v>
      </x:c>
      <x:c r="G187" s="11" t="n">
        <x:f>IF(C187=0,"",MAXIFS(Rankings_Master!$H$2:$H$788,Rankings_Master!$D$2:$D$788,A187,Rankings_Master!$E$2:$E$788,B187,Rankings_Master!$J$2:$J$788,"Yes"))</x:f>
        <x:v>202305</x:v>
      </x:c>
      <x:c r="H187" s="11" t="str">
        <x:f>IF(C187=0,"Partial only",IF(C187&gt;=2,"Yes","No"))</x:f>
        <x:v>Yes</x:v>
      </x:c>
      <x:c r="I187" s="11" t="n">
        <x:f>IF(C187=0,"",INT(G187/100)-INT(F187/100)+1)</x:f>
        <x:v>1</x:v>
      </x:c>
      <x:c r="J187" s="11" t="str">
        <x:v>Romance / New Adult</x:v>
      </x:c>
      <x:c r="K187" s="11" t="str">
        <x:v>LYX</x:v>
      </x:c>
      <x:c r="L187" s="11" t="str">
        <x:v>2022</x:v>
      </x:c>
      <x:c r="M187" s="11" t="str">
        <x:v>978-3-7363-1762-8</x:v>
      </x:c>
      <x:c r="N187" s="11" t="str">
        <x:v>Yes</x:v>
      </x:c>
      <x:c r="O187" s="11" t="n">
        <x:v>1</x:v>
      </x:c>
      <x:c r="P187" s="11" t="str">
        <x:v>No</x:v>
      </x:c>
      <x:c r="Q187" s="11" t="str">
        <x:v>Full verified</x:v>
      </x:c>
    </x:row>
    <x:row r="188">
      <x:c r="A188" s="11" t="str">
        <x:v>Westwell - Hot &amp; Cold</x:v>
      </x:c>
      <x:c r="B188" s="11" t="str">
        <x:v>Lena Kiefer</x:v>
      </x:c>
      <x:c r="C188" s="11" t="n">
        <x:f>COUNTIFS(Rankings_Master!$D$2:$D$788,A188,Rankings_Master!$E$2:$E$788,B188,Rankings_Master!$J$2:$J$788,"Yes")</x:f>
        <x:v>2</x:v>
      </x:c>
      <x:c r="D188" s="11" t="n">
        <x:f>IF(C188=0,"",MINIFS(Rankings_Master!$B$2:$B$788,Rankings_Master!$D$2:$D$788,A188,Rankings_Master!$E$2:$E$788,B188,Rankings_Master!$J$2:$J$788,"Yes"))</x:f>
        <x:v>11</x:v>
      </x:c>
      <x:c r="E188" s="14" t="n">
        <x:f>IF(C188=0,"",SUMIFS(Rankings_Master!$B$2:$B$788,Rankings_Master!$D$2:$D$788,A188,Rankings_Master!$E$2:$E$788,B188,Rankings_Master!$J$2:$J$788,"Yes")/C188)</x:f>
        <x:v>12.5</x:v>
      </x:c>
      <x:c r="F188" s="11" t="n">
        <x:f>IF(C188=0,"",MINIFS(Rankings_Master!$H$2:$H$788,Rankings_Master!$D$2:$D$788,A188,Rankings_Master!$E$2:$E$788,B188,Rankings_Master!$J$2:$J$788,"Yes"))</x:f>
        <x:v>202304</x:v>
      </x:c>
      <x:c r="G188" s="11" t="n">
        <x:f>IF(C188=0,"",MAXIFS(Rankings_Master!$H$2:$H$788,Rankings_Master!$D$2:$D$788,A188,Rankings_Master!$E$2:$E$788,B188,Rankings_Master!$J$2:$J$788,"Yes"))</x:f>
        <x:v>202305</x:v>
      </x:c>
      <x:c r="H188" s="11" t="str">
        <x:f>IF(C188=0,"Partial only",IF(C188&gt;=2,"Yes","No"))</x:f>
        <x:v>Yes</x:v>
      </x:c>
      <x:c r="I188" s="11" t="n">
        <x:f>IF(C188=0,"",INT(G188/100)-INT(F188/100)+1)</x:f>
        <x:v>1</x:v>
      </x:c>
      <x:c r="J188" s="11" t="str">
        <x:v>Romance / New Adult</x:v>
      </x:c>
      <x:c r="K188" s="11" t="str">
        <x:v>LYX</x:v>
      </x:c>
      <x:c r="L188" s="11" t="str">
        <x:v>2023</x:v>
      </x:c>
      <x:c r="M188" s="11" t="str">
        <x:v>978-3-7363-1813-7</x:v>
      </x:c>
      <x:c r="N188" s="11" t="str">
        <x:v>Yes</x:v>
      </x:c>
      <x:c r="O188" s="11" t="n">
        <x:v>3</x:v>
      </x:c>
      <x:c r="P188" s="11" t="str">
        <x:v>No</x:v>
      </x:c>
      <x:c r="Q188" s="11" t="str">
        <x:v>Full verified</x:v>
      </x:c>
    </x:row>
    <x:row r="189">
      <x:c r="A189" s="11" t="str">
        <x:v>Picking Daisies on Sundays</x:v>
      </x:c>
      <x:c r="B189" s="11" t="str">
        <x:v>Liana Cincotti</x:v>
      </x:c>
      <x:c r="C189" s="11" t="n">
        <x:f>COUNTIFS(Rankings_Master!$D$2:$D$788,A189,Rankings_Master!$E$2:$E$788,B189,Rankings_Master!$J$2:$J$788,"Yes")</x:f>
        <x:v>1</x:v>
      </x:c>
      <x:c r="D189" s="11" t="n">
        <x:f>IF(C189=0,"",MINIFS(Rankings_Master!$B$2:$B$788,Rankings_Master!$D$2:$D$788,A189,Rankings_Master!$E$2:$E$788,B189,Rankings_Master!$J$2:$J$788,"Yes"))</x:f>
        <x:v>5</x:v>
      </x:c>
      <x:c r="E189" s="14" t="n">
        <x:f>IF(C189=0,"",SUMIFS(Rankings_Master!$B$2:$B$788,Rankings_Master!$D$2:$D$788,A189,Rankings_Master!$E$2:$E$788,B189,Rankings_Master!$J$2:$J$788,"Yes")/C189)</x:f>
        <x:v>5</x:v>
      </x:c>
      <x:c r="F189" s="11" t="n">
        <x:f>IF(C189=0,"",MINIFS(Rankings_Master!$H$2:$H$788,Rankings_Master!$D$2:$D$788,A189,Rankings_Master!$E$2:$E$788,B189,Rankings_Master!$J$2:$J$788,"Yes"))</x:f>
        <x:v>202605</x:v>
      </x:c>
      <x:c r="G189" s="11" t="n">
        <x:f>IF(C189=0,"",MAXIFS(Rankings_Master!$H$2:$H$788,Rankings_Master!$D$2:$D$788,A189,Rankings_Master!$E$2:$E$788,B189,Rankings_Master!$J$2:$J$788,"Yes"))</x:f>
        <x:v>202605</x:v>
      </x:c>
      <x:c r="H189" s="11" t="str">
        <x:f>IF(C189=0,"Partial only",IF(C189&gt;=2,"Yes","No"))</x:f>
        <x:v>No</x:v>
      </x:c>
      <x:c r="I189" s="11" t="n">
        <x:f>IF(C189=0,"",INT(G189/100)-INT(F189/100)+1)</x:f>
        <x:v>1</x:v>
      </x:c>
      <x:c r="J189" s="11" t="str">
        <x:v>Romance / YA</x:v>
      </x:c>
      <x:c r="K189" s="11" t="str">
        <x:v>Ravensburger</x:v>
      </x:c>
      <x:c r="L189" s="11" t="str">
        <x:v>2026-04-28</x:v>
      </x:c>
      <x:c r="M189" s="11" t="str">
        <x:v>978-3-473-58727-8</x:v>
      </x:c>
      <x:c r="N189" s="11" t="str">
        <x:v>No</x:v>
      </x:c>
      <x:c r="O189" s="11"/>
      <x:c r="P189" s="11" t="str">
        <x:v>No</x:v>
      </x:c>
      <x:c r="Q189" s="11" t="str">
        <x:v>Full verified</x:v>
      </x:c>
    </x:row>
    <x:row r="190">
      <x:c r="A190" s="11" t="str">
        <x:v>Das Jahr voller Bücher und Wunder</x:v>
      </x:c>
      <x:c r="B190" s="11" t="str">
        <x:v>Libby Page</x:v>
      </x:c>
      <x:c r="C190" s="11" t="n">
        <x:f>COUNTIFS(Rankings_Master!$D$2:$D$788,A190,Rankings_Master!$E$2:$E$788,B190,Rankings_Master!$J$2:$J$788,"Yes")</x:f>
        <x:v>2</x:v>
      </x:c>
      <x:c r="D190" s="11" t="n">
        <x:f>IF(C190=0,"",MINIFS(Rankings_Master!$B$2:$B$788,Rankings_Master!$D$2:$D$788,A190,Rankings_Master!$E$2:$E$788,B190,Rankings_Master!$J$2:$J$788,"Yes"))</x:f>
        <x:v>16</x:v>
      </x:c>
      <x:c r="E190" s="14" t="n">
        <x:f>IF(C190=0,"",SUMIFS(Rankings_Master!$B$2:$B$788,Rankings_Master!$D$2:$D$788,A190,Rankings_Master!$E$2:$E$788,B190,Rankings_Master!$J$2:$J$788,"Yes")/C190)</x:f>
        <x:v>16</x:v>
      </x:c>
      <x:c r="F190" s="11" t="n">
        <x:f>IF(C190=0,"",MINIFS(Rankings_Master!$H$2:$H$788,Rankings_Master!$D$2:$D$788,A190,Rankings_Master!$E$2:$E$788,B190,Rankings_Master!$J$2:$J$788,"Yes"))</x:f>
        <x:v>202511</x:v>
      </x:c>
      <x:c r="G190" s="11" t="n">
        <x:f>IF(C190=0,"",MAXIFS(Rankings_Master!$H$2:$H$788,Rankings_Master!$D$2:$D$788,A190,Rankings_Master!$E$2:$E$788,B190,Rankings_Master!$J$2:$J$788,"Yes"))</x:f>
        <x:v>202512</x:v>
      </x:c>
      <x:c r="H190" s="11" t="str">
        <x:f>IF(C190=0,"Partial only",IF(C190&gt;=2,"Yes","No"))</x:f>
        <x:v>Yes</x:v>
      </x:c>
      <x:c r="I190" s="11" t="n">
        <x:f>IF(C190=0,"",INT(G190/100)-INT(F190/100)+1)</x:f>
        <x:v>1</x:v>
      </x:c>
      <x:c r="J190" s="11" t="str">
        <x:v>Contemporary Fiction</x:v>
      </x:c>
      <x:c r="K190" s="11" t="str">
        <x:v>Goldmann</x:v>
      </x:c>
      <x:c r="L190" s="11" t="str">
        <x:v>2025-10-15</x:v>
      </x:c>
      <x:c r="M190" s="11" t="str">
        <x:v>978-3-442-49689-1</x:v>
      </x:c>
      <x:c r="N190" s="11" t="str">
        <x:v>No</x:v>
      </x:c>
      <x:c r="O190" s="11"/>
      <x:c r="P190" s="11" t="str">
        <x:v>No</x:v>
      </x:c>
      <x:c r="Q190" s="11" t="str">
        <x:v>Full verified</x:v>
      </x:c>
    </x:row>
    <x:row r="191">
      <x:c r="A191" s="11" t="str">
        <x:v>A Place to Belong</x:v>
      </x:c>
      <x:c r="B191" s="11" t="str">
        <x:v>Lilly Lucas</x:v>
      </x:c>
      <x:c r="C191" s="11" t="n">
        <x:f>COUNTIFS(Rankings_Master!$D$2:$D$788,A191,Rankings_Master!$E$2:$E$788,B191,Rankings_Master!$J$2:$J$788,"Yes")</x:f>
        <x:v>1</x:v>
      </x:c>
      <x:c r="D191" s="11" t="n">
        <x:f>IF(C191=0,"",MINIFS(Rankings_Master!$B$2:$B$788,Rankings_Master!$D$2:$D$788,A191,Rankings_Master!$E$2:$E$788,B191,Rankings_Master!$J$2:$J$788,"Yes"))</x:f>
        <x:v>20</x:v>
      </x:c>
      <x:c r="E191" s="14" t="n">
        <x:f>IF(C191=0,"",SUMIFS(Rankings_Master!$B$2:$B$788,Rankings_Master!$D$2:$D$788,A191,Rankings_Master!$E$2:$E$788,B191,Rankings_Master!$J$2:$J$788,"Yes")/C191)</x:f>
        <x:v>20</x:v>
      </x:c>
      <x:c r="F191" s="11" t="n">
        <x:f>IF(C191=0,"",MINIFS(Rankings_Master!$H$2:$H$788,Rankings_Master!$D$2:$D$788,A191,Rankings_Master!$E$2:$E$788,B191,Rankings_Master!$J$2:$J$788,"Yes"))</x:f>
        <x:v>202304</x:v>
      </x:c>
      <x:c r="G191" s="11" t="n">
        <x:f>IF(C191=0,"",MAXIFS(Rankings_Master!$H$2:$H$788,Rankings_Master!$D$2:$D$788,A191,Rankings_Master!$E$2:$E$788,B191,Rankings_Master!$J$2:$J$788,"Yes"))</x:f>
        <x:v>202304</x:v>
      </x:c>
      <x:c r="H191" s="11" t="str">
        <x:f>IF(C191=0,"Partial only",IF(C191&gt;=2,"Yes","No"))</x:f>
        <x:v>No</x:v>
      </x:c>
      <x:c r="I191" s="11" t="n">
        <x:f>IF(C191=0,"",INT(G191/100)-INT(F191/100)+1)</x:f>
        <x:v>1</x:v>
      </x:c>
      <x:c r="J191" s="11" t="str">
        <x:v>Romance / Contemporary</x:v>
      </x:c>
      <x:c r="K191" s="11" t="str">
        <x:v>Knaur TB</x:v>
      </x:c>
      <x:c r="L191" s="11" t="str">
        <x:v>2023-04-03</x:v>
      </x:c>
      <x:c r="M191" s="11" t="str">
        <x:v>978-3-426-52863-1</x:v>
      </x:c>
      <x:c r="N191" s="11" t="str">
        <x:v>Yes</x:v>
      </x:c>
      <x:c r="O191" s="11" t="n">
        <x:v>3</x:v>
      </x:c>
      <x:c r="P191" s="11" t="str">
        <x:v>No</x:v>
      </x:c>
      <x:c r="Q191" s="11" t="str">
        <x:v>Full verified</x:v>
      </x:c>
    </x:row>
    <x:row r="192">
      <x:c r="A192" s="11" t="str">
        <x:v>New Wishes</x:v>
      </x:c>
      <x:c r="B192" s="11" t="str">
        <x:v>Lilly Lucas</x:v>
      </x:c>
      <x:c r="C192" s="11" t="n">
        <x:f>COUNTIFS(Rankings_Master!$D$2:$D$788,A192,Rankings_Master!$E$2:$E$788,B192,Rankings_Master!$J$2:$J$788,"Yes")</x:f>
        <x:v>2</x:v>
      </x:c>
      <x:c r="D192" s="11" t="n">
        <x:f>IF(C192=0,"",MINIFS(Rankings_Master!$B$2:$B$788,Rankings_Master!$D$2:$D$788,A192,Rankings_Master!$E$2:$E$788,B192,Rankings_Master!$J$2:$J$788,"Yes"))</x:f>
        <x:v>3</x:v>
      </x:c>
      <x:c r="E192" s="14" t="n">
        <x:f>IF(C192=0,"",SUMIFS(Rankings_Master!$B$2:$B$788,Rankings_Master!$D$2:$D$788,A192,Rankings_Master!$E$2:$E$788,B192,Rankings_Master!$J$2:$J$788,"Yes")/C192)</x:f>
        <x:v>10</x:v>
      </x:c>
      <x:c r="F192" s="11" t="n">
        <x:f>IF(C192=0,"",MINIFS(Rankings_Master!$H$2:$H$788,Rankings_Master!$D$2:$D$788,A192,Rankings_Master!$E$2:$E$788,B192,Rankings_Master!$J$2:$J$788,"Yes"))</x:f>
        <x:v>202311</x:v>
      </x:c>
      <x:c r="G192" s="11" t="n">
        <x:f>IF(C192=0,"",MAXIFS(Rankings_Master!$H$2:$H$788,Rankings_Master!$D$2:$D$788,A192,Rankings_Master!$E$2:$E$788,B192,Rankings_Master!$J$2:$J$788,"Yes"))</x:f>
        <x:v>202312</x:v>
      </x:c>
      <x:c r="H192" s="11" t="str">
        <x:f>IF(C192=0,"Partial only",IF(C192&gt;=2,"Yes","No"))</x:f>
        <x:v>Yes</x:v>
      </x:c>
      <x:c r="I192" s="11" t="n">
        <x:f>IF(C192=0,"",INT(G192/100)-INT(F192/100)+1)</x:f>
        <x:v>1</x:v>
      </x:c>
      <x:c r="J192" s="11" t="str">
        <x:v>Romance / Contemporary</x:v>
      </x:c>
      <x:c r="K192" s="11" t="str">
        <x:v>Knaur TB</x:v>
      </x:c>
      <x:c r="L192" s="11" t="str">
        <x:v>2023-11-02</x:v>
      </x:c>
      <x:c r="M192" s="11" t="str">
        <x:v>978-3-426-52968-3</x:v>
      </x:c>
      <x:c r="N192" s="11" t="str">
        <x:v>Yes</x:v>
      </x:c>
      <x:c r="O192" s="11" t="n">
        <x:v>6</x:v>
      </x:c>
      <x:c r="P192" s="11" t="str">
        <x:v>No</x:v>
      </x:c>
      <x:c r="Q192" s="11" t="str">
        <x:v>Full verified</x:v>
      </x:c>
    </x:row>
    <x:row r="193">
      <x:c r="A193" s="11" t="str">
        <x:v>This could be forever</x:v>
      </x:c>
      <x:c r="B193" s="11" t="str">
        <x:v>Lilly Lucas</x:v>
      </x:c>
      <x:c r="C193" s="11" t="n">
        <x:f>COUNTIFS(Rankings_Master!$D$2:$D$788,A193,Rankings_Master!$E$2:$E$788,B193,Rankings_Master!$J$2:$J$788,"Yes")</x:f>
        <x:v>1</x:v>
      </x:c>
      <x:c r="D193" s="11" t="n">
        <x:f>IF(C193=0,"",MINIFS(Rankings_Master!$B$2:$B$788,Rankings_Master!$D$2:$D$788,A193,Rankings_Master!$E$2:$E$788,B193,Rankings_Master!$J$2:$J$788,"Yes"))</x:f>
        <x:v>13</x:v>
      </x:c>
      <x:c r="E193" s="14" t="n">
        <x:f>IF(C193=0,"",SUMIFS(Rankings_Master!$B$2:$B$788,Rankings_Master!$D$2:$D$788,A193,Rankings_Master!$E$2:$E$788,B193,Rankings_Master!$J$2:$J$788,"Yes")/C193)</x:f>
        <x:v>13</x:v>
      </x:c>
      <x:c r="F193" s="11" t="n">
        <x:f>IF(C193=0,"",MINIFS(Rankings_Master!$H$2:$H$788,Rankings_Master!$D$2:$D$788,A193,Rankings_Master!$E$2:$E$788,B193,Rankings_Master!$J$2:$J$788,"Yes"))</x:f>
        <x:v>202509</x:v>
      </x:c>
      <x:c r="G193" s="11" t="n">
        <x:f>IF(C193=0,"",MAXIFS(Rankings_Master!$H$2:$H$788,Rankings_Master!$D$2:$D$788,A193,Rankings_Master!$E$2:$E$788,B193,Rankings_Master!$J$2:$J$788,"Yes"))</x:f>
        <x:v>202509</x:v>
      </x:c>
      <x:c r="H193" s="11" t="str">
        <x:f>IF(C193=0,"Partial only",IF(C193&gt;=2,"Yes","No"))</x:f>
        <x:v>No</x:v>
      </x:c>
      <x:c r="I193" s="11" t="n">
        <x:f>IF(C193=0,"",INT(G193/100)-INT(F193/100)+1)</x:f>
        <x:v>1</x:v>
      </x:c>
      <x:c r="J193" s="11" t="str">
        <x:v>Romance / New Adult</x:v>
      </x:c>
      <x:c r="K193" s="11" t="str">
        <x:v>Knaur TB</x:v>
      </x:c>
      <x:c r="L193" s="11" t="str">
        <x:v>2025-09-01</x:v>
      </x:c>
      <x:c r="M193" s="11" t="str">
        <x:v>978-3-426-53091-7</x:v>
      </x:c>
      <x:c r="N193" s="11" t="str">
        <x:v>Yes</x:v>
      </x:c>
      <x:c r="O193" s="11" t="n">
        <x:v>3</x:v>
      </x:c>
      <x:c r="P193" s="11" t="str">
        <x:v>No</x:v>
      </x:c>
      <x:c r="Q193" s="11" t="str">
        <x:v>Full verified</x:v>
      </x:c>
    </x:row>
    <x:row r="194">
      <x:c r="A194" s="11" t="str">
        <x:v>This could be home</x:v>
      </x:c>
      <x:c r="B194" s="11" t="str">
        <x:v>Lilly Lucas</x:v>
      </x:c>
      <x:c r="C194" s="11" t="n">
        <x:f>COUNTIFS(Rankings_Master!$D$2:$D$788,A194,Rankings_Master!$E$2:$E$788,B194,Rankings_Master!$J$2:$J$788,"Yes")</x:f>
        <x:v>2</x:v>
      </x:c>
      <x:c r="D194" s="11" t="n">
        <x:f>IF(C194=0,"",MINIFS(Rankings_Master!$B$2:$B$788,Rankings_Master!$D$2:$D$788,A194,Rankings_Master!$E$2:$E$788,B194,Rankings_Master!$J$2:$J$788,"Yes"))</x:f>
        <x:v>2</x:v>
      </x:c>
      <x:c r="E194" s="14" t="n">
        <x:f>IF(C194=0,"",SUMIFS(Rankings_Master!$B$2:$B$788,Rankings_Master!$D$2:$D$788,A194,Rankings_Master!$E$2:$E$788,B194,Rankings_Master!$J$2:$J$788,"Yes")/C194)</x:f>
        <x:v>8.5</x:v>
      </x:c>
      <x:c r="F194" s="11" t="n">
        <x:f>IF(C194=0,"",MINIFS(Rankings_Master!$H$2:$H$788,Rankings_Master!$D$2:$D$788,A194,Rankings_Master!$E$2:$E$788,B194,Rankings_Master!$J$2:$J$788,"Yes"))</x:f>
        <x:v>202501</x:v>
      </x:c>
      <x:c r="G194" s="11" t="n">
        <x:f>IF(C194=0,"",MAXIFS(Rankings_Master!$H$2:$H$788,Rankings_Master!$D$2:$D$788,A194,Rankings_Master!$E$2:$E$788,B194,Rankings_Master!$J$2:$J$788,"Yes"))</x:f>
        <x:v>202504</x:v>
      </x:c>
      <x:c r="H194" s="11" t="str">
        <x:f>IF(C194=0,"Partial only",IF(C194&gt;=2,"Yes","No"))</x:f>
        <x:v>Yes</x:v>
      </x:c>
      <x:c r="I194" s="11" t="n">
        <x:f>IF(C194=0,"",INT(G194/100)-INT(F194/100)+1)</x:f>
        <x:v>1</x:v>
      </x:c>
      <x:c r="J194" s="11" t="str">
        <x:v>Romance / New Adult</x:v>
      </x:c>
      <x:c r="K194" s="11" t="str">
        <x:v>Knaur TB</x:v>
      </x:c>
      <x:c r="L194" s="11" t="str">
        <x:v>2025-01-14</x:v>
      </x:c>
      <x:c r="M194" s="11" t="str">
        <x:v>978-3-426-53090-0</x:v>
      </x:c>
      <x:c r="N194" s="11" t="str">
        <x:v>Yes</x:v>
      </x:c>
      <x:c r="O194" s="11" t="n">
        <x:v>2</x:v>
      </x:c>
      <x:c r="P194" s="11" t="str">
        <x:v>No</x:v>
      </x:c>
      <x:c r="Q194" s="11" t="str">
        <x:v>Full verified</x:v>
      </x:c>
    </x:row>
    <x:row r="195">
      <x:c r="A195" s="11" t="str">
        <x:v>This could be love</x:v>
      </x:c>
      <x:c r="B195" s="11" t="str">
        <x:v>Lilly Lucas</x:v>
      </x:c>
      <x:c r="C195" s="11" t="n">
        <x:f>COUNTIFS(Rankings_Master!$D$2:$D$788,A195,Rankings_Master!$E$2:$E$788,B195,Rankings_Master!$J$2:$J$788,"Yes")</x:f>
        <x:v>2</x:v>
      </x:c>
      <x:c r="D195" s="11" t="n">
        <x:f>IF(C195=0,"",MINIFS(Rankings_Master!$B$2:$B$788,Rankings_Master!$D$2:$D$788,A195,Rankings_Master!$E$2:$E$788,B195,Rankings_Master!$J$2:$J$788,"Yes"))</x:f>
        <x:v>1</x:v>
      </x:c>
      <x:c r="E195" s="14" t="n">
        <x:f>IF(C195=0,"",SUMIFS(Rankings_Master!$B$2:$B$788,Rankings_Master!$D$2:$D$788,A195,Rankings_Master!$E$2:$E$788,B195,Rankings_Master!$J$2:$J$788,"Yes")/C195)</x:f>
        <x:v>2.5</x:v>
      </x:c>
      <x:c r="F195" s="11" t="n">
        <x:f>IF(C195=0,"",MINIFS(Rankings_Master!$H$2:$H$788,Rankings_Master!$D$2:$D$788,A195,Rankings_Master!$E$2:$E$788,B195,Rankings_Master!$J$2:$J$788,"Yes"))</x:f>
        <x:v>202407</x:v>
      </x:c>
      <x:c r="G195" s="11" t="n">
        <x:f>IF(C195=0,"",MAXIFS(Rankings_Master!$H$2:$H$788,Rankings_Master!$D$2:$D$788,A195,Rankings_Master!$E$2:$E$788,B195,Rankings_Master!$J$2:$J$788,"Yes"))</x:f>
        <x:v>202408</x:v>
      </x:c>
      <x:c r="H195" s="11" t="str">
        <x:f>IF(C195=0,"Partial only",IF(C195&gt;=2,"Yes","No"))</x:f>
        <x:v>Yes</x:v>
      </x:c>
      <x:c r="I195" s="11" t="n">
        <x:f>IF(C195=0,"",INT(G195/100)-INT(F195/100)+1)</x:f>
        <x:v>1</x:v>
      </x:c>
      <x:c r="J195" s="11" t="str">
        <x:v>Romance / New Adult</x:v>
      </x:c>
      <x:c r="K195" s="11" t="str">
        <x:v>Knaur TB</x:v>
      </x:c>
      <x:c r="L195" s="11" t="str">
        <x:v>2024-07-01</x:v>
      </x:c>
      <x:c r="M195" s="11" t="str">
        <x:v>978-3-426-53089-4</x:v>
      </x:c>
      <x:c r="N195" s="11" t="str">
        <x:v>Yes</x:v>
      </x:c>
      <x:c r="O195" s="11" t="n">
        <x:v>1</x:v>
      </x:c>
      <x:c r="P195" s="11" t="str">
        <x:v>No</x:v>
      </x:c>
      <x:c r="Q195" s="11" t="str">
        <x:v>Full verified</x:v>
      </x:c>
    </x:row>
    <x:row r="196">
      <x:c r="A196" s="11" t="str">
        <x:v>Das Camp</x:v>
      </x:c>
      <x:c r="B196" s="11" t="str">
        <x:v>Linus Geschke</x:v>
      </x:c>
      <x:c r="C196" s="11" t="n">
        <x:f>COUNTIFS(Rankings_Master!$D$2:$D$788,A196,Rankings_Master!$E$2:$E$788,B196,Rankings_Master!$J$2:$J$788,"Yes")</x:f>
        <x:v>1</x:v>
      </x:c>
      <x:c r="D196" s="11" t="n">
        <x:f>IF(C196=0,"",MINIFS(Rankings_Master!$B$2:$B$788,Rankings_Master!$D$2:$D$788,A196,Rankings_Master!$E$2:$E$788,B196,Rankings_Master!$J$2:$J$788,"Yes"))</x:f>
        <x:v>17</x:v>
      </x:c>
      <x:c r="E196" s="14" t="n">
        <x:f>IF(C196=0,"",SUMIFS(Rankings_Master!$B$2:$B$788,Rankings_Master!$D$2:$D$788,A196,Rankings_Master!$E$2:$E$788,B196,Rankings_Master!$J$2:$J$788,"Yes")/C196)</x:f>
        <x:v>17</x:v>
      </x:c>
      <x:c r="F196" s="11" t="n">
        <x:f>IF(C196=0,"",MINIFS(Rankings_Master!$H$2:$H$788,Rankings_Master!$D$2:$D$788,A196,Rankings_Master!$E$2:$E$788,B196,Rankings_Master!$J$2:$J$788,"Yes"))</x:f>
        <x:v>202602</x:v>
      </x:c>
      <x:c r="G196" s="11" t="n">
        <x:f>IF(C196=0,"",MAXIFS(Rankings_Master!$H$2:$H$788,Rankings_Master!$D$2:$D$788,A196,Rankings_Master!$E$2:$E$788,B196,Rankings_Master!$J$2:$J$788,"Yes"))</x:f>
        <x:v>202602</x:v>
      </x:c>
      <x:c r="H196" s="11" t="str">
        <x:f>IF(C196=0,"Partial only",IF(C196&gt;=2,"Yes","No"))</x:f>
        <x:v>No</x:v>
      </x:c>
      <x:c r="I196" s="11" t="n">
        <x:f>IF(C196=0,"",INT(G196/100)-INT(F196/100)+1)</x:f>
        <x:v>1</x:v>
      </x:c>
      <x:c r="J196" s="11" t="str">
        <x:v>Thriller / Suspense</x:v>
      </x:c>
      <x:c r="K196" s="11" t="str">
        <x:v>Piper</x:v>
      </x:c>
      <x:c r="L196" s="11" t="str">
        <x:v>2026-01-30</x:v>
      </x:c>
      <x:c r="M196" s="11" t="str">
        <x:v>978-3-492-06862-8</x:v>
      </x:c>
      <x:c r="N196" s="11" t="str">
        <x:v>Yes</x:v>
      </x:c>
      <x:c r="O196" s="11" t="n">
        <x:v>2</x:v>
      </x:c>
      <x:c r="P196" s="11" t="str">
        <x:v>No</x:v>
      </x:c>
      <x:c r="Q196" s="11" t="str">
        <x:v>Full verified</x:v>
      </x:c>
    </x:row>
    <x:row r="197">
      <x:c r="A197" s="11" t="str">
        <x:v>In Her Own League</x:v>
      </x:c>
      <x:c r="B197" s="11" t="str">
        <x:v>Liz Tomforde</x:v>
      </x:c>
      <x:c r="C197" s="11" t="n">
        <x:f>COUNTIFS(Rankings_Master!$D$2:$D$788,A197,Rankings_Master!$E$2:$E$788,B197,Rankings_Master!$J$2:$J$788,"Yes")</x:f>
        <x:v>3</x:v>
      </x:c>
      <x:c r="D197" s="11" t="n">
        <x:f>IF(C197=0,"",MINIFS(Rankings_Master!$B$2:$B$788,Rankings_Master!$D$2:$D$788,A197,Rankings_Master!$E$2:$E$788,B197,Rankings_Master!$J$2:$J$788,"Yes"))</x:f>
        <x:v>5</x:v>
      </x:c>
      <x:c r="E197" s="14" t="n">
        <x:f>IF(C197=0,"",SUMIFS(Rankings_Master!$B$2:$B$788,Rankings_Master!$D$2:$D$788,A197,Rankings_Master!$E$2:$E$788,B197,Rankings_Master!$J$2:$J$788,"Yes")/C197)</x:f>
        <x:v>10.333333333333334</x:v>
      </x:c>
      <x:c r="F197" s="11" t="n">
        <x:f>IF(C197=0,"",MINIFS(Rankings_Master!$H$2:$H$788,Rankings_Master!$D$2:$D$788,A197,Rankings_Master!$E$2:$E$788,B197,Rankings_Master!$J$2:$J$788,"Yes"))</x:f>
        <x:v>202603</x:v>
      </x:c>
      <x:c r="G197" s="11" t="n">
        <x:f>IF(C197=0,"",MAXIFS(Rankings_Master!$H$2:$H$788,Rankings_Master!$D$2:$D$788,A197,Rankings_Master!$E$2:$E$788,B197,Rankings_Master!$J$2:$J$788,"Yes"))</x:f>
        <x:v>202605</x:v>
      </x:c>
      <x:c r="H197" s="11" t="str">
        <x:f>IF(C197=0,"Partial only",IF(C197&gt;=2,"Yes","No"))</x:f>
        <x:v>Yes</x:v>
      </x:c>
      <x:c r="I197" s="11" t="n">
        <x:f>IF(C197=0,"",INT(G197/100)-INT(F197/100)+1)</x:f>
        <x:v>1</x:v>
      </x:c>
      <x:c r="J197" s="11" t="str">
        <x:v>Sports Romance</x:v>
      </x:c>
      <x:c r="K197" s="11" t="str">
        <x:v>Hodder &amp; Stoughton</x:v>
      </x:c>
      <x:c r="L197" s="11" t="str">
        <x:v>2026-03-03</x:v>
      </x:c>
      <x:c r="M197" s="11" t="str">
        <x:v>978-1-3997-4644-1</x:v>
      </x:c>
      <x:c r="N197" s="11" t="str">
        <x:v>No</x:v>
      </x:c>
      <x:c r="O197" s="11"/>
      <x:c r="P197" s="11" t="str">
        <x:v>No</x:v>
      </x:c>
      <x:c r="Q197" s="11" t="str">
        <x:v>Edition ambiguous</x:v>
      </x:c>
    </x:row>
    <x:row r="198">
      <x:c r="A198" s="11" t="str">
        <x:v>Mile High</x:v>
      </x:c>
      <x:c r="B198" s="11" t="str">
        <x:v>Liz Tomforde</x:v>
      </x:c>
      <x:c r="C198" s="11" t="n">
        <x:f>COUNTIFS(Rankings_Master!$D$2:$D$788,A198,Rankings_Master!$E$2:$E$788,B198,Rankings_Master!$J$2:$J$788,"Yes")</x:f>
        <x:v>6</x:v>
      </x:c>
      <x:c r="D198" s="11" t="n">
        <x:f>IF(C198=0,"",MINIFS(Rankings_Master!$B$2:$B$788,Rankings_Master!$D$2:$D$788,A198,Rankings_Master!$E$2:$E$788,B198,Rankings_Master!$J$2:$J$788,"Yes"))</x:f>
        <x:v>8</x:v>
      </x:c>
      <x:c r="E198" s="14" t="n">
        <x:f>IF(C198=0,"",SUMIFS(Rankings_Master!$B$2:$B$788,Rankings_Master!$D$2:$D$788,A198,Rankings_Master!$E$2:$E$788,B198,Rankings_Master!$J$2:$J$788,"Yes")/C198)</x:f>
        <x:v>15</x:v>
      </x:c>
      <x:c r="F198" s="11" t="n">
        <x:f>IF(C198=0,"",MINIFS(Rankings_Master!$H$2:$H$788,Rankings_Master!$D$2:$D$788,A198,Rankings_Master!$E$2:$E$788,B198,Rankings_Master!$J$2:$J$788,"Yes"))</x:f>
        <x:v>202406</x:v>
      </x:c>
      <x:c r="G198" s="11" t="n">
        <x:f>IF(C198=0,"",MAXIFS(Rankings_Master!$H$2:$H$788,Rankings_Master!$D$2:$D$788,A198,Rankings_Master!$E$2:$E$788,B198,Rankings_Master!$J$2:$J$788,"Yes"))</x:f>
        <x:v>202503</x:v>
      </x:c>
      <x:c r="H198" s="11" t="str">
        <x:f>IF(C198=0,"Partial only",IF(C198&gt;=2,"Yes","No"))</x:f>
        <x:v>Yes</x:v>
      </x:c>
      <x:c r="I198" s="11" t="n">
        <x:f>IF(C198=0,"",INT(G198/100)-INT(F198/100)+1)</x:f>
        <x:v>2</x:v>
      </x:c>
      <x:c r="J198" s="11" t="str">
        <x:v>Romance / New Adult</x:v>
      </x:c>
      <x:c r="K198" s="11" t="str">
        <x:v>Blanvalet</x:v>
      </x:c>
      <x:c r="L198" s="11" t="str">
        <x:v>2024-05-22</x:v>
      </x:c>
      <x:c r="M198" s="11" t="str">
        <x:v>978-3-7341-1347-5</x:v>
      </x:c>
      <x:c r="N198" s="11" t="str">
        <x:v>Yes</x:v>
      </x:c>
      <x:c r="O198" s="11" t="n">
        <x:v>1</x:v>
      </x:c>
      <x:c r="P198" s="11" t="str">
        <x:v>No</x:v>
      </x:c>
      <x:c r="Q198" s="11" t="str">
        <x:v>Full verified</x:v>
      </x:c>
    </x:row>
    <x:row r="199">
      <x:c r="A199" s="11" t="str">
        <x:v>Play Along</x:v>
      </x:c>
      <x:c r="B199" s="11" t="str">
        <x:v>Liz Tomforde</x:v>
      </x:c>
      <x:c r="C199" s="11" t="n">
        <x:f>COUNTIFS(Rankings_Master!$D$2:$D$788,A199,Rankings_Master!$E$2:$E$788,B199,Rankings_Master!$J$2:$J$788,"Yes")</x:f>
        <x:v>2</x:v>
      </x:c>
      <x:c r="D199" s="11" t="n">
        <x:f>IF(C199=0,"",MINIFS(Rankings_Master!$B$2:$B$788,Rankings_Master!$D$2:$D$788,A199,Rankings_Master!$E$2:$E$788,B199,Rankings_Master!$J$2:$J$788,"Yes"))</x:f>
        <x:v>4</x:v>
      </x:c>
      <x:c r="E199" s="14" t="n">
        <x:f>IF(C199=0,"",SUMIFS(Rankings_Master!$B$2:$B$788,Rankings_Master!$D$2:$D$788,A199,Rankings_Master!$E$2:$E$788,B199,Rankings_Master!$J$2:$J$788,"Yes")/C199)</x:f>
        <x:v>7.5</x:v>
      </x:c>
      <x:c r="F199" s="11" t="n">
        <x:f>IF(C199=0,"",MINIFS(Rankings_Master!$H$2:$H$788,Rankings_Master!$D$2:$D$788,A199,Rankings_Master!$E$2:$E$788,B199,Rankings_Master!$J$2:$J$788,"Yes"))</x:f>
        <x:v>202504</x:v>
      </x:c>
      <x:c r="G199" s="11" t="n">
        <x:f>IF(C199=0,"",MAXIFS(Rankings_Master!$H$2:$H$788,Rankings_Master!$D$2:$D$788,A199,Rankings_Master!$E$2:$E$788,B199,Rankings_Master!$J$2:$J$788,"Yes"))</x:f>
        <x:v>202505</x:v>
      </x:c>
      <x:c r="H199" s="11" t="str">
        <x:f>IF(C199=0,"Partial only",IF(C199&gt;=2,"Yes","No"))</x:f>
        <x:v>Yes</x:v>
      </x:c>
      <x:c r="I199" s="11" t="n">
        <x:f>IF(C199=0,"",INT(G199/100)-INT(F199/100)+1)</x:f>
        <x:v>1</x:v>
      </x:c>
      <x:c r="J199" s="11" t="str">
        <x:v>Romance / New Adult</x:v>
      </x:c>
      <x:c r="K199" s="11" t="str">
        <x:v>Blanvalet</x:v>
      </x:c>
      <x:c r="L199" s="11" t="str">
        <x:v>2025-04-23</x:v>
      </x:c>
      <x:c r="M199" s="11" t="str">
        <x:v>978-3-7341-1365-9</x:v>
      </x:c>
      <x:c r="N199" s="11" t="str">
        <x:v>Yes</x:v>
      </x:c>
      <x:c r="O199" s="11" t="n">
        <x:v>4</x:v>
      </x:c>
      <x:c r="P199" s="11" t="str">
        <x:v>No</x:v>
      </x:c>
      <x:c r="Q199" s="11" t="str">
        <x:v>Full verified</x:v>
      </x:c>
    </x:row>
    <x:row r="200">
      <x:c r="A200" s="11" t="str">
        <x:v>Rewind It Back</x:v>
      </x:c>
      <x:c r="B200" s="11" t="str">
        <x:v>Liz Tomforde</x:v>
      </x:c>
      <x:c r="C200" s="11" t="n">
        <x:f>COUNTIFS(Rankings_Master!$D$2:$D$788,A200,Rankings_Master!$E$2:$E$788,B200,Rankings_Master!$J$2:$J$788,"Yes")</x:f>
        <x:v>2</x:v>
      </x:c>
      <x:c r="D200" s="11" t="n">
        <x:f>IF(C200=0,"",MINIFS(Rankings_Master!$B$2:$B$788,Rankings_Master!$D$2:$D$788,A200,Rankings_Master!$E$2:$E$788,B200,Rankings_Master!$J$2:$J$788,"Yes"))</x:f>
        <x:v>3</x:v>
      </x:c>
      <x:c r="E200" s="14" t="n">
        <x:f>IF(C200=0,"",SUMIFS(Rankings_Master!$B$2:$B$788,Rankings_Master!$D$2:$D$788,A200,Rankings_Master!$E$2:$E$788,B200,Rankings_Master!$J$2:$J$788,"Yes")/C200)</x:f>
        <x:v>4</x:v>
      </x:c>
      <x:c r="F200" s="11" t="n">
        <x:f>IF(C200=0,"",MINIFS(Rankings_Master!$H$2:$H$788,Rankings_Master!$D$2:$D$788,A200,Rankings_Master!$E$2:$E$788,B200,Rankings_Master!$J$2:$J$788,"Yes"))</x:f>
        <x:v>202508</x:v>
      </x:c>
      <x:c r="G200" s="11" t="n">
        <x:f>IF(C200=0,"",MAXIFS(Rankings_Master!$H$2:$H$788,Rankings_Master!$D$2:$D$788,A200,Rankings_Master!$E$2:$E$788,B200,Rankings_Master!$J$2:$J$788,"Yes"))</x:f>
        <x:v>202509</x:v>
      </x:c>
      <x:c r="H200" s="11" t="str">
        <x:f>IF(C200=0,"Partial only",IF(C200&gt;=2,"Yes","No"))</x:f>
        <x:v>Yes</x:v>
      </x:c>
      <x:c r="I200" s="11" t="n">
        <x:f>IF(C200=0,"",INT(G200/100)-INT(F200/100)+1)</x:f>
        <x:v>1</x:v>
      </x:c>
      <x:c r="J200" s="11" t="str">
        <x:v>Romance / New Adult</x:v>
      </x:c>
      <x:c r="K200" s="11" t="str">
        <x:v>Blanvalet</x:v>
      </x:c>
      <x:c r="L200" s="11" t="str">
        <x:v>2025-08-20</x:v>
      </x:c>
      <x:c r="M200" s="11" t="str">
        <x:v>978-3-7341-1507-3</x:v>
      </x:c>
      <x:c r="N200" s="11" t="str">
        <x:v>Yes</x:v>
      </x:c>
      <x:c r="O200" s="11" t="n">
        <x:v>5</x:v>
      </x:c>
      <x:c r="P200" s="11" t="str">
        <x:v>No</x:v>
      </x:c>
      <x:c r="Q200" s="11" t="str">
        <x:v>Full verified</x:v>
      </x:c>
    </x:row>
    <x:row r="201">
      <x:c r="A201" s="11" t="str">
        <x:v>Das Mädchen aus Yorkshire</x:v>
      </x:c>
      <x:c r="B201" s="11" t="str">
        <x:v>Lucinda Riley</x:v>
      </x:c>
      <x:c r="C201" s="11" t="n">
        <x:f>COUNTIFS(Rankings_Master!$D$2:$D$788,A201,Rankings_Master!$E$2:$E$788,B201,Rankings_Master!$J$2:$J$788,"Yes")</x:f>
        <x:v>4</x:v>
      </x:c>
      <x:c r="D201" s="11" t="n">
        <x:f>IF(C201=0,"",MINIFS(Rankings_Master!$B$2:$B$788,Rankings_Master!$D$2:$D$788,A201,Rankings_Master!$E$2:$E$788,B201,Rankings_Master!$J$2:$J$788,"Yes"))</x:f>
        <x:v>9</x:v>
      </x:c>
      <x:c r="E201" s="14" t="n">
        <x:f>IF(C201=0,"",SUMIFS(Rankings_Master!$B$2:$B$788,Rankings_Master!$D$2:$D$788,A201,Rankings_Master!$E$2:$E$788,B201,Rankings_Master!$J$2:$J$788,"Yes")/C201)</x:f>
        <x:v>14.75</x:v>
      </x:c>
      <x:c r="F201" s="11" t="n">
        <x:f>IF(C201=0,"",MINIFS(Rankings_Master!$H$2:$H$788,Rankings_Master!$D$2:$D$788,A201,Rankings_Master!$E$2:$E$788,B201,Rankings_Master!$J$2:$J$788,"Yes"))</x:f>
        <x:v>202511</x:v>
      </x:c>
      <x:c r="G201" s="11" t="n">
        <x:f>IF(C201=0,"",MAXIFS(Rankings_Master!$H$2:$H$788,Rankings_Master!$D$2:$D$788,A201,Rankings_Master!$E$2:$E$788,B201,Rankings_Master!$J$2:$J$788,"Yes"))</x:f>
        <x:v>202602</x:v>
      </x:c>
      <x:c r="H201" s="11" t="str">
        <x:f>IF(C201=0,"Partial only",IF(C201&gt;=2,"Yes","No"))</x:f>
        <x:v>Yes</x:v>
      </x:c>
      <x:c r="I201" s="11" t="n">
        <x:f>IF(C201=0,"",INT(G201/100)-INT(F201/100)+1)</x:f>
        <x:v>2</x:v>
      </x:c>
      <x:c r="J201" s="11" t="str">
        <x:v>Historical / Contemporary Fiction</x:v>
      </x:c>
      <x:c r="K201" s="11" t="str">
        <x:v>Goldmann</x:v>
      </x:c>
      <x:c r="L201" s="11" t="str">
        <x:v>2025</x:v>
      </x:c>
      <x:c r="M201" s="11" t="str">
        <x:v>978-3-442-31783-7</x:v>
      </x:c>
      <x:c r="N201" s="11" t="str">
        <x:v>No</x:v>
      </x:c>
      <x:c r="O201" s="11"/>
      <x:c r="P201" s="11" t="str">
        <x:v>No</x:v>
      </x:c>
      <x:c r="Q201" s="11" t="str">
        <x:v>Core verified</x:v>
      </x:c>
    </x:row>
    <x:row r="202">
      <x:c r="A202" s="11" t="str">
        <x:v>Die Frauen von Ballymore</x:v>
      </x:c>
      <x:c r="B202" s="11" t="str">
        <x:v>Lucinda Riley</x:v>
      </x:c>
      <x:c r="C202" s="11" t="n">
        <x:f>COUNTIFS(Rankings_Master!$D$2:$D$788,A202,Rankings_Master!$E$2:$E$788,B202,Rankings_Master!$J$2:$J$788,"Yes")</x:f>
        <x:v>2</x:v>
      </x:c>
      <x:c r="D202" s="11" t="n">
        <x:f>IF(C202=0,"",MINIFS(Rankings_Master!$B$2:$B$788,Rankings_Master!$D$2:$D$788,A202,Rankings_Master!$E$2:$E$788,B202,Rankings_Master!$J$2:$J$788,"Yes"))</x:f>
        <x:v>10</x:v>
      </x:c>
      <x:c r="E202" s="14" t="n">
        <x:f>IF(C202=0,"",SUMIFS(Rankings_Master!$B$2:$B$788,Rankings_Master!$D$2:$D$788,A202,Rankings_Master!$E$2:$E$788,B202,Rankings_Master!$J$2:$J$788,"Yes")/C202)</x:f>
        <x:v>10.5</x:v>
      </x:c>
      <x:c r="F202" s="11" t="n">
        <x:f>IF(C202=0,"",MINIFS(Rankings_Master!$H$2:$H$788,Rankings_Master!$D$2:$D$788,A202,Rankings_Master!$E$2:$E$788,B202,Rankings_Master!$J$2:$J$788,"Yes"))</x:f>
        <x:v>202511</x:v>
      </x:c>
      <x:c r="G202" s="11" t="n">
        <x:f>IF(C202=0,"",MAXIFS(Rankings_Master!$H$2:$H$788,Rankings_Master!$D$2:$D$788,A202,Rankings_Master!$E$2:$E$788,B202,Rankings_Master!$J$2:$J$788,"Yes"))</x:f>
        <x:v>202512</x:v>
      </x:c>
      <x:c r="H202" s="11" t="str">
        <x:f>IF(C202=0,"Partial only",IF(C202&gt;=2,"Yes","No"))</x:f>
        <x:v>Yes</x:v>
      </x:c>
      <x:c r="I202" s="11" t="n">
        <x:f>IF(C202=0,"",INT(G202/100)-INT(F202/100)+1)</x:f>
        <x:v>1</x:v>
      </x:c>
      <x:c r="J202" s="11" t="str">
        <x:v>Historical / Contemporary Fiction</x:v>
      </x:c>
      <x:c r="K202" s="11" t="str">
        <x:v>Goldmann</x:v>
      </x:c>
      <x:c r="L202" s="11" t="str">
        <x:v>2025-11-12</x:v>
      </x:c>
      <x:c r="M202" s="11" t="str">
        <x:v>978-3-442-30234-5</x:v>
      </x:c>
      <x:c r="N202" s="11" t="str">
        <x:v>No</x:v>
      </x:c>
      <x:c r="O202" s="11"/>
      <x:c r="P202" s="11" t="str">
        <x:v>No</x:v>
      </x:c>
      <x:c r="Q202" s="11" t="str">
        <x:v>Full verified</x:v>
      </x:c>
    </x:row>
    <x:row r="203">
      <x:c r="A203" s="11" t="str">
        <x:v>Things We Hide From The Light</x:v>
      </x:c>
      <x:c r="B203" s="11" t="str">
        <x:v>Lucy Score</x:v>
      </x:c>
      <x:c r="C203" s="11" t="n">
        <x:f>COUNTIFS(Rankings_Master!$D$2:$D$788,A203,Rankings_Master!$E$2:$E$788,B203,Rankings_Master!$J$2:$J$788,"Yes")</x:f>
        <x:v>1</x:v>
      </x:c>
      <x:c r="D203" s="11" t="n">
        <x:f>IF(C203=0,"",MINIFS(Rankings_Master!$B$2:$B$788,Rankings_Master!$D$2:$D$788,A203,Rankings_Master!$E$2:$E$788,B203,Rankings_Master!$J$2:$J$788,"Yes"))</x:f>
        <x:v>18</x:v>
      </x:c>
      <x:c r="E203" s="14" t="n">
        <x:f>IF(C203=0,"",SUMIFS(Rankings_Master!$B$2:$B$788,Rankings_Master!$D$2:$D$788,A203,Rankings_Master!$E$2:$E$788,B203,Rankings_Master!$J$2:$J$788,"Yes")/C203)</x:f>
        <x:v>18</x:v>
      </x:c>
      <x:c r="F203" s="11" t="n">
        <x:f>IF(C203=0,"",MINIFS(Rankings_Master!$H$2:$H$788,Rankings_Master!$D$2:$D$788,A203,Rankings_Master!$E$2:$E$788,B203,Rankings_Master!$J$2:$J$788,"Yes"))</x:f>
        <x:v>202306</x:v>
      </x:c>
      <x:c r="G203" s="11" t="n">
        <x:f>IF(C203=0,"",MAXIFS(Rankings_Master!$H$2:$H$788,Rankings_Master!$D$2:$D$788,A203,Rankings_Master!$E$2:$E$788,B203,Rankings_Master!$J$2:$J$788,"Yes"))</x:f>
        <x:v>202306</x:v>
      </x:c>
      <x:c r="H203" s="11" t="str">
        <x:f>IF(C203=0,"Partial only",IF(C203&gt;=2,"Yes","No"))</x:f>
        <x:v>No</x:v>
      </x:c>
      <x:c r="I203" s="11" t="n">
        <x:f>IF(C203=0,"",INT(G203/100)-INT(F203/100)+1)</x:f>
        <x:v>1</x:v>
      </x:c>
      <x:c r="J203" s="11" t="str">
        <x:v>Romance / Contemporary</x:v>
      </x:c>
      <x:c r="K203" s="11" t="str">
        <x:v>Forever / Ullstein</x:v>
      </x:c>
      <x:c r="L203" s="11" t="str">
        <x:v>2023-06-01</x:v>
      </x:c>
      <x:c r="M203" s="11" t="str">
        <x:v>978-3-95818-742-9</x:v>
      </x:c>
      <x:c r="N203" s="11" t="str">
        <x:v>Yes</x:v>
      </x:c>
      <x:c r="O203" s="11" t="n">
        <x:v>2</x:v>
      </x:c>
      <x:c r="P203" s="11" t="str">
        <x:v>No</x:v>
      </x:c>
      <x:c r="Q203" s="11" t="str">
        <x:v>Full verified</x:v>
      </x:c>
    </x:row>
    <x:row r="204">
      <x:c r="A204" s="11" t="str">
        <x:v>Things We Never Got Over (Knockemout 1)</x:v>
      </x:c>
      <x:c r="B204" s="11" t="str">
        <x:v>Lucy Score</x:v>
      </x:c>
      <x:c r="C204" s="11" t="n">
        <x:f>COUNTIFS(Rankings_Master!$D$2:$D$788,A204,Rankings_Master!$E$2:$E$788,B204,Rankings_Master!$J$2:$J$788,"Yes")</x:f>
        <x:v>2</x:v>
      </x:c>
      <x:c r="D204" s="11" t="n">
        <x:f>IF(C204=0,"",MINIFS(Rankings_Master!$B$2:$B$788,Rankings_Master!$D$2:$D$788,A204,Rankings_Master!$E$2:$E$788,B204,Rankings_Master!$J$2:$J$788,"Yes"))</x:f>
        <x:v>12</x:v>
      </x:c>
      <x:c r="E204" s="14" t="n">
        <x:f>IF(C204=0,"",SUMIFS(Rankings_Master!$B$2:$B$788,Rankings_Master!$D$2:$D$788,A204,Rankings_Master!$E$2:$E$788,B204,Rankings_Master!$J$2:$J$788,"Yes")/C204)</x:f>
        <x:v>14.5</x:v>
      </x:c>
      <x:c r="F204" s="11" t="n">
        <x:f>IF(C204=0,"",MINIFS(Rankings_Master!$H$2:$H$788,Rankings_Master!$D$2:$D$788,A204,Rankings_Master!$E$2:$E$788,B204,Rankings_Master!$J$2:$J$788,"Yes"))</x:f>
        <x:v>202304</x:v>
      </x:c>
      <x:c r="G204" s="11" t="n">
        <x:f>IF(C204=0,"",MAXIFS(Rankings_Master!$H$2:$H$788,Rankings_Master!$D$2:$D$788,A204,Rankings_Master!$E$2:$E$788,B204,Rankings_Master!$J$2:$J$788,"Yes"))</x:f>
        <x:v>202305</x:v>
      </x:c>
      <x:c r="H204" s="11" t="str">
        <x:f>IF(C204=0,"Partial only",IF(C204&gt;=2,"Yes","No"))</x:f>
        <x:v>Yes</x:v>
      </x:c>
      <x:c r="I204" s="11" t="n">
        <x:f>IF(C204=0,"",INT(G204/100)-INT(F204/100)+1)</x:f>
        <x:v>1</x:v>
      </x:c>
      <x:c r="J204" s="11" t="str">
        <x:v>Romance / Contemporary</x:v>
      </x:c>
      <x:c r="K204" s="11" t="str">
        <x:v>Forever / Ullstein</x:v>
      </x:c>
      <x:c r="L204" s="11" t="str">
        <x:v>2023-04</x:v>
      </x:c>
      <x:c r="M204" s="11" t="str">
        <x:v>978-3-95818-744-3</x:v>
      </x:c>
      <x:c r="N204" s="11" t="str">
        <x:v>Yes</x:v>
      </x:c>
      <x:c r="O204" s="11" t="n">
        <x:v>1</x:v>
      </x:c>
      <x:c r="P204" s="11" t="str">
        <x:v>No</x:v>
      </x:c>
      <x:c r="Q204" s="11" t="str">
        <x:v>Full verified</x:v>
      </x:c>
    </x:row>
    <x:row r="205">
      <x:c r="A205" s="11" t="str">
        <x:v>House of Verity (Abschlussband der dystopischen Fantasysaga)</x:v>
      </x:c>
      <x:c r="B205" s="11" t="str">
        <x:v>Marah Woolf</x:v>
      </x:c>
      <x:c r="C205" s="11" t="n">
        <x:f>COUNTIFS(Rankings_Master!$D$2:$D$788,A205,Rankings_Master!$E$2:$E$788,B205,Rankings_Master!$J$2:$J$788,"Yes")</x:f>
        <x:v>1</x:v>
      </x:c>
      <x:c r="D205" s="11" t="n">
        <x:f>IF(C205=0,"",MINIFS(Rankings_Master!$B$2:$B$788,Rankings_Master!$D$2:$D$788,A205,Rankings_Master!$E$2:$E$788,B205,Rankings_Master!$J$2:$J$788,"Yes"))</x:f>
        <x:v>9</x:v>
      </x:c>
      <x:c r="E205" s="14" t="n">
        <x:f>IF(C205=0,"",SUMIFS(Rankings_Master!$B$2:$B$788,Rankings_Master!$D$2:$D$788,A205,Rankings_Master!$E$2:$E$788,B205,Rankings_Master!$J$2:$J$788,"Yes")/C205)</x:f>
        <x:v>9</x:v>
      </x:c>
      <x:c r="F205" s="11" t="n">
        <x:f>IF(C205=0,"",MINIFS(Rankings_Master!$H$2:$H$788,Rankings_Master!$D$2:$D$788,A205,Rankings_Master!$E$2:$E$788,B205,Rankings_Master!$J$2:$J$788,"Yes"))</x:f>
        <x:v>202505</x:v>
      </x:c>
      <x:c r="G205" s="11" t="n">
        <x:f>IF(C205=0,"",MAXIFS(Rankings_Master!$H$2:$H$788,Rankings_Master!$D$2:$D$788,A205,Rankings_Master!$E$2:$E$788,B205,Rankings_Master!$J$2:$J$788,"Yes"))</x:f>
        <x:v>202505</x:v>
      </x:c>
      <x:c r="H205" s="11" t="str">
        <x:f>IF(C205=0,"Partial only",IF(C205&gt;=2,"Yes","No"))</x:f>
        <x:v>No</x:v>
      </x:c>
      <x:c r="I205" s="11" t="n">
        <x:f>IF(C205=0,"",INT(G205/100)-INT(F205/100)+1)</x:f>
        <x:v>1</x:v>
      </x:c>
      <x:c r="J205" s="11" t="str">
        <x:v>Fantasy / Dystopian</x:v>
      </x:c>
      <x:c r="K205" s="11" t="str">
        <x:v>Marah Woolf / Nova MD</x:v>
      </x:c>
      <x:c r="L205" s="11" t="str">
        <x:v>2025-05-06</x:v>
      </x:c>
      <x:c r="M205" s="11" t="str">
        <x:v>978-3-98942-512-5</x:v>
      </x:c>
      <x:c r="N205" s="11" t="str">
        <x:v>Yes</x:v>
      </x:c>
      <x:c r="O205" s="11" t="n">
        <x:v>3</x:v>
      </x:c>
      <x:c r="P205" s="11" t="str">
        <x:v>Yes</x:v>
      </x:c>
      <x:c r="Q205" s="11" t="str">
        <x:v>Full verified</x:v>
      </x:c>
    </x:row>
    <x:row r="206">
      <x:c r="A206" s="11" t="str">
        <x:v>WiccaCreed - Schuld &amp; Sünde</x:v>
      </x:c>
      <x:c r="B206" s="11" t="str">
        <x:v>Marah Woolf</x:v>
      </x:c>
      <x:c r="C206" s="11" t="n">
        <x:f>COUNTIFS(Rankings_Master!$D$2:$D$788,A206,Rankings_Master!$E$2:$E$788,B206,Rankings_Master!$J$2:$J$788,"Yes")</x:f>
        <x:v>1</x:v>
      </x:c>
      <x:c r="D206" s="11" t="n">
        <x:f>IF(C206=0,"",MINIFS(Rankings_Master!$B$2:$B$788,Rankings_Master!$D$2:$D$788,A206,Rankings_Master!$E$2:$E$788,B206,Rankings_Master!$J$2:$J$788,"Yes"))</x:f>
        <x:v>13</x:v>
      </x:c>
      <x:c r="E206" s="14" t="n">
        <x:f>IF(C206=0,"",SUMIFS(Rankings_Master!$B$2:$B$788,Rankings_Master!$D$2:$D$788,A206,Rankings_Master!$E$2:$E$788,B206,Rankings_Master!$J$2:$J$788,"Yes")/C206)</x:f>
        <x:v>13</x:v>
      </x:c>
      <x:c r="F206" s="11" t="n">
        <x:f>IF(C206=0,"",MINIFS(Rankings_Master!$H$2:$H$788,Rankings_Master!$D$2:$D$788,A206,Rankings_Master!$E$2:$E$788,B206,Rankings_Master!$J$2:$J$788,"Yes"))</x:f>
        <x:v>202308</x:v>
      </x:c>
      <x:c r="G206" s="11" t="n">
        <x:f>IF(C206=0,"",MAXIFS(Rankings_Master!$H$2:$H$788,Rankings_Master!$D$2:$D$788,A206,Rankings_Master!$E$2:$E$788,B206,Rankings_Master!$J$2:$J$788,"Yes"))</x:f>
        <x:v>202308</x:v>
      </x:c>
      <x:c r="H206" s="11" t="str">
        <x:f>IF(C206=0,"Partial only",IF(C206&gt;=2,"Yes","No"))</x:f>
        <x:v>No</x:v>
      </x:c>
      <x:c r="I206" s="11" t="n">
        <x:f>IF(C206=0,"",INT(G206/100)-INT(F206/100)+1)</x:f>
        <x:v>1</x:v>
      </x:c>
      <x:c r="J206" s="11" t="str">
        <x:v>Fantasy / Romantasy</x:v>
      </x:c>
      <x:c r="K206" s="11" t="str">
        <x:v>Marah Woolf / Vertrieb Nova MD</x:v>
      </x:c>
      <x:c r="L206" s="11" t="str">
        <x:v>2023-08-22</x:v>
      </x:c>
      <x:c r="M206" s="11" t="str">
        <x:v>978-3-98595-546-6</x:v>
      </x:c>
      <x:c r="N206" s="11" t="str">
        <x:v>Yes</x:v>
      </x:c>
      <x:c r="O206" s="11" t="n">
        <x:v>2</x:v>
      </x:c>
      <x:c r="P206" s="11" t="str">
        <x:v>Yes</x:v>
      </x:c>
      <x:c r="Q206" s="11" t="str">
        <x:v>Full verified</x:v>
      </x:c>
    </x:row>
    <x:row r="207">
      <x:c r="A207" s="11" t="str">
        <x:v>WiccaCreed Rache &amp; Feuer</x:v>
      </x:c>
      <x:c r="B207" s="11" t="str">
        <x:v>Marah Woolf</x:v>
      </x:c>
      <x:c r="C207" s="11" t="n">
        <x:f>COUNTIFS(Rankings_Master!$D$2:$D$788,A207,Rankings_Master!$E$2:$E$788,B207,Rankings_Master!$J$2:$J$788,"Yes")</x:f>
        <x:v>1</x:v>
      </x:c>
      <x:c r="D207" s="11" t="n">
        <x:f>IF(C207=0,"",MINIFS(Rankings_Master!$B$2:$B$788,Rankings_Master!$D$2:$D$788,A207,Rankings_Master!$E$2:$E$788,B207,Rankings_Master!$J$2:$J$788,"Yes"))</x:f>
        <x:v>12</x:v>
      </x:c>
      <x:c r="E207" s="14" t="n">
        <x:f>IF(C207=0,"",SUMIFS(Rankings_Master!$B$2:$B$788,Rankings_Master!$D$2:$D$788,A207,Rankings_Master!$E$2:$E$788,B207,Rankings_Master!$J$2:$J$788,"Yes")/C207)</x:f>
        <x:v>12</x:v>
      </x:c>
      <x:c r="F207" s="11" t="n">
        <x:f>IF(C207=0,"",MINIFS(Rankings_Master!$H$2:$H$788,Rankings_Master!$D$2:$D$788,A207,Rankings_Master!$E$2:$E$788,B207,Rankings_Master!$J$2:$J$788,"Yes"))</x:f>
        <x:v>202312</x:v>
      </x:c>
      <x:c r="G207" s="11" t="n">
        <x:f>IF(C207=0,"",MAXIFS(Rankings_Master!$H$2:$H$788,Rankings_Master!$D$2:$D$788,A207,Rankings_Master!$E$2:$E$788,B207,Rankings_Master!$J$2:$J$788,"Yes"))</x:f>
        <x:v>202312</x:v>
      </x:c>
      <x:c r="H207" s="11" t="str">
        <x:f>IF(C207=0,"Partial only",IF(C207&gt;=2,"Yes","No"))</x:f>
        <x:v>No</x:v>
      </x:c>
      <x:c r="I207" s="11" t="n">
        <x:f>IF(C207=0,"",INT(G207/100)-INT(F207/100)+1)</x:f>
        <x:v>1</x:v>
      </x:c>
      <x:c r="J207" s="11" t="str">
        <x:v>Fantasy / Romantasy</x:v>
      </x:c>
      <x:c r="K207" s="11" t="str">
        <x:v>Marah Woolf / Vertrieb Nova MD</x:v>
      </x:c>
      <x:c r="L207" s="11" t="str">
        <x:v>2023-12-05</x:v>
      </x:c>
      <x:c r="M207" s="11" t="str">
        <x:v>978-3-98595-547-3</x:v>
      </x:c>
      <x:c r="N207" s="11" t="str">
        <x:v>Yes</x:v>
      </x:c>
      <x:c r="O207" s="11" t="n">
        <x:v>3</x:v>
      </x:c>
      <x:c r="P207" s="11" t="str">
        <x:v>Yes</x:v>
      </x:c>
      <x:c r="Q207" s="11" t="str">
        <x:v>Full verified</x:v>
      </x:c>
    </x:row>
    <x:row r="208">
      <x:c r="A208" s="11" t="str">
        <x:v>WiccaCreed Zeichen &amp; Omen</x:v>
      </x:c>
      <x:c r="B208" s="11" t="str">
        <x:v>Marah Woolf</x:v>
      </x:c>
      <x:c r="C208" s="11" t="n">
        <x:f>COUNTIFS(Rankings_Master!$D$2:$D$788,A208,Rankings_Master!$E$2:$E$788,B208,Rankings_Master!$J$2:$J$788,"Yes")</x:f>
        <x:v>1</x:v>
      </x:c>
      <x:c r="D208" s="11" t="n">
        <x:f>IF(C208=0,"",MINIFS(Rankings_Master!$B$2:$B$788,Rankings_Master!$D$2:$D$788,A208,Rankings_Master!$E$2:$E$788,B208,Rankings_Master!$J$2:$J$788,"Yes"))</x:f>
        <x:v>10</x:v>
      </x:c>
      <x:c r="E208" s="14" t="n">
        <x:f>IF(C208=0,"",SUMIFS(Rankings_Master!$B$2:$B$788,Rankings_Master!$D$2:$D$788,A208,Rankings_Master!$E$2:$E$788,B208,Rankings_Master!$J$2:$J$788,"Yes")/C208)</x:f>
        <x:v>10</x:v>
      </x:c>
      <x:c r="F208" s="11" t="n">
        <x:f>IF(C208=0,"",MINIFS(Rankings_Master!$H$2:$H$788,Rankings_Master!$D$2:$D$788,A208,Rankings_Master!$E$2:$E$788,B208,Rankings_Master!$J$2:$J$788,"Yes"))</x:f>
        <x:v>202304</x:v>
      </x:c>
      <x:c r="G208" s="11" t="n">
        <x:f>IF(C208=0,"",MAXIFS(Rankings_Master!$H$2:$H$788,Rankings_Master!$D$2:$D$788,A208,Rankings_Master!$E$2:$E$788,B208,Rankings_Master!$J$2:$J$788,"Yes"))</x:f>
        <x:v>202304</x:v>
      </x:c>
      <x:c r="H208" s="11" t="str">
        <x:f>IF(C208=0,"Partial only",IF(C208&gt;=2,"Yes","No"))</x:f>
        <x:v>No</x:v>
      </x:c>
      <x:c r="I208" s="11" t="n">
        <x:f>IF(C208=0,"",INT(G208/100)-INT(F208/100)+1)</x:f>
        <x:v>1</x:v>
      </x:c>
      <x:c r="J208" s="11" t="str">
        <x:v>Fantasy / Romantasy</x:v>
      </x:c>
      <x:c r="K208" s="11" t="str">
        <x:v>Marah Woolf / Vertrieb Nova MD</x:v>
      </x:c>
      <x:c r="L208" s="11" t="str">
        <x:v>2023-03-28</x:v>
      </x:c>
      <x:c r="M208" s="11" t="str">
        <x:v>978-3-98595-592-3</x:v>
      </x:c>
      <x:c r="N208" s="11" t="str">
        <x:v>Yes</x:v>
      </x:c>
      <x:c r="O208" s="11" t="n">
        <x:v>1</x:v>
      </x:c>
      <x:c r="P208" s="11" t="str">
        <x:v>Yes</x:v>
      </x:c>
      <x:c r="Q208" s="11" t="str">
        <x:v>Full verified</x:v>
      </x:c>
    </x:row>
    <x:row r="209">
      <x:c r="A209" s="11" t="str">
        <x:v>Belladaire Academy of Athletes - Misfits</x:v>
      </x:c>
      <x:c r="B209" s="11" t="str">
        <x:v>Maren Vivien Haase</x:v>
      </x:c>
      <x:c r="C209" s="11" t="n">
        <x:f>COUNTIFS(Rankings_Master!$D$2:$D$788,A209,Rankings_Master!$E$2:$E$788,B209,Rankings_Master!$J$2:$J$788,"Yes")</x:f>
        <x:v>1</x:v>
      </x:c>
      <x:c r="D209" s="11" t="n">
        <x:f>IF(C209=0,"",MINIFS(Rankings_Master!$B$2:$B$788,Rankings_Master!$D$2:$D$788,A209,Rankings_Master!$E$2:$E$788,B209,Rankings_Master!$J$2:$J$788,"Yes"))</x:f>
        <x:v>5</x:v>
      </x:c>
      <x:c r="E209" s="14" t="n">
        <x:f>IF(C209=0,"",SUMIFS(Rankings_Master!$B$2:$B$788,Rankings_Master!$D$2:$D$788,A209,Rankings_Master!$E$2:$E$788,B209,Rankings_Master!$J$2:$J$788,"Yes")/C209)</x:f>
        <x:v>5</x:v>
      </x:c>
      <x:c r="F209" s="11" t="n">
        <x:f>IF(C209=0,"",MINIFS(Rankings_Master!$H$2:$H$788,Rankings_Master!$D$2:$D$788,A209,Rankings_Master!$E$2:$E$788,B209,Rankings_Master!$J$2:$J$788,"Yes"))</x:f>
        <x:v>202404</x:v>
      </x:c>
      <x:c r="G209" s="11" t="n">
        <x:f>IF(C209=0,"",MAXIFS(Rankings_Master!$H$2:$H$788,Rankings_Master!$D$2:$D$788,A209,Rankings_Master!$E$2:$E$788,B209,Rankings_Master!$J$2:$J$788,"Yes"))</x:f>
        <x:v>202404</x:v>
      </x:c>
      <x:c r="H209" s="11" t="str">
        <x:f>IF(C209=0,"Partial only",IF(C209&gt;=2,"Yes","No"))</x:f>
        <x:v>No</x:v>
      </x:c>
      <x:c r="I209" s="11" t="n">
        <x:f>IF(C209=0,"",INT(G209/100)-INT(F209/100)+1)</x:f>
        <x:v>1</x:v>
      </x:c>
      <x:c r="J209" s="11" t="str">
        <x:v>Romance / New Adult</x:v>
      </x:c>
      <x:c r="K209" s="11" t="str">
        <x:v>Blanvalet</x:v>
      </x:c>
      <x:c r="L209" s="11" t="str">
        <x:v>2024-04-17</x:v>
      </x:c>
      <x:c r="M209" s="11" t="str">
        <x:v>978-3-7341-1280-5</x:v>
      </x:c>
      <x:c r="N209" s="11" t="str">
        <x:v>Yes</x:v>
      </x:c>
      <x:c r="O209" s="11" t="n">
        <x:v>3</x:v>
      </x:c>
      <x:c r="P209" s="11" t="str">
        <x:v>No</x:v>
      </x:c>
      <x:c r="Q209" s="11" t="str">
        <x:v>Full verified</x:v>
      </x:c>
    </x:row>
    <x:row r="210">
      <x:c r="A210" s="11" t="str">
        <x:v>Belladaire Academy of Athletes - Rivals</x:v>
      </x:c>
      <x:c r="B210" s="11" t="str">
        <x:v>Maren Vivien Haase</x:v>
      </x:c>
      <x:c r="C210" s="11" t="n">
        <x:f>COUNTIFS(Rankings_Master!$D$2:$D$788,A210,Rankings_Master!$E$2:$E$788,B210,Rankings_Master!$J$2:$J$788,"Yes")</x:f>
        <x:v>1</x:v>
      </x:c>
      <x:c r="D210" s="11" t="n">
        <x:f>IF(C210=0,"",MINIFS(Rankings_Master!$B$2:$B$788,Rankings_Master!$D$2:$D$788,A210,Rankings_Master!$E$2:$E$788,B210,Rankings_Master!$J$2:$J$788,"Yes"))</x:f>
        <x:v>9</x:v>
      </x:c>
      <x:c r="E210" s="14" t="n">
        <x:f>IF(C210=0,"",SUMIFS(Rankings_Master!$B$2:$B$788,Rankings_Master!$D$2:$D$788,A210,Rankings_Master!$E$2:$E$788,B210,Rankings_Master!$J$2:$J$788,"Yes")/C210)</x:f>
        <x:v>9</x:v>
      </x:c>
      <x:c r="F210" s="11" t="n">
        <x:f>IF(C210=0,"",MINIFS(Rankings_Master!$H$2:$H$788,Rankings_Master!$D$2:$D$788,A210,Rankings_Master!$E$2:$E$788,B210,Rankings_Master!$J$2:$J$788,"Yes"))</x:f>
        <x:v>202401</x:v>
      </x:c>
      <x:c r="G210" s="11" t="n">
        <x:f>IF(C210=0,"",MAXIFS(Rankings_Master!$H$2:$H$788,Rankings_Master!$D$2:$D$788,A210,Rankings_Master!$E$2:$E$788,B210,Rankings_Master!$J$2:$J$788,"Yes"))</x:f>
        <x:v>202401</x:v>
      </x:c>
      <x:c r="H210" s="11" t="str">
        <x:f>IF(C210=0,"Partial only",IF(C210&gt;=2,"Yes","No"))</x:f>
        <x:v>No</x:v>
      </x:c>
      <x:c r="I210" s="11" t="n">
        <x:f>IF(C210=0,"",INT(G210/100)-INT(F210/100)+1)</x:f>
        <x:v>1</x:v>
      </x:c>
      <x:c r="J210" s="11" t="str">
        <x:v>Romance / New Adult</x:v>
      </x:c>
      <x:c r="K210" s="11" t="str">
        <x:v>Blanvalet</x:v>
      </x:c>
      <x:c r="L210" s="11" t="str">
        <x:v>2024-01-17</x:v>
      </x:c>
      <x:c r="M210" s="11" t="str">
        <x:v>978-3-7341-1279-9</x:v>
      </x:c>
      <x:c r="N210" s="11" t="str">
        <x:v>Yes</x:v>
      </x:c>
      <x:c r="O210" s="11" t="n">
        <x:v>2</x:v>
      </x:c>
      <x:c r="P210" s="11" t="str">
        <x:v>No</x:v>
      </x:c>
      <x:c r="Q210" s="11" t="str">
        <x:v>Full verified</x:v>
      </x:c>
    </x:row>
    <x:row r="211">
      <x:c r="A211" s="11" t="str">
        <x:v>How to Catch a (Fake) Cowboy</x:v>
      </x:c>
      <x:c r="B211" s="11" t="str">
        <x:v>Maren Vivien Haase</x:v>
      </x:c>
      <x:c r="C211" s="11" t="n">
        <x:f>COUNTIFS(Rankings_Master!$D$2:$D$788,A211,Rankings_Master!$E$2:$E$788,B211,Rankings_Master!$J$2:$J$788,"Yes")</x:f>
        <x:v>1</x:v>
      </x:c>
      <x:c r="D211" s="11" t="n">
        <x:f>IF(C211=0,"",MINIFS(Rankings_Master!$B$2:$B$788,Rankings_Master!$D$2:$D$788,A211,Rankings_Master!$E$2:$E$788,B211,Rankings_Master!$J$2:$J$788,"Yes"))</x:f>
        <x:v>19</x:v>
      </x:c>
      <x:c r="E211" s="14" t="n">
        <x:f>IF(C211=0,"",SUMIFS(Rankings_Master!$B$2:$B$788,Rankings_Master!$D$2:$D$788,A211,Rankings_Master!$E$2:$E$788,B211,Rankings_Master!$J$2:$J$788,"Yes")/C211)</x:f>
        <x:v>19</x:v>
      </x:c>
      <x:c r="F211" s="11" t="n">
        <x:f>IF(C211=0,"",MINIFS(Rankings_Master!$H$2:$H$788,Rankings_Master!$D$2:$D$788,A211,Rankings_Master!$E$2:$E$788,B211,Rankings_Master!$J$2:$J$788,"Yes"))</x:f>
        <x:v>202606</x:v>
      </x:c>
      <x:c r="G211" s="11" t="n">
        <x:f>IF(C211=0,"",MAXIFS(Rankings_Master!$H$2:$H$788,Rankings_Master!$D$2:$D$788,A211,Rankings_Master!$E$2:$E$788,B211,Rankings_Master!$J$2:$J$788,"Yes"))</x:f>
        <x:v>202606</x:v>
      </x:c>
      <x:c r="H211" s="11" t="str">
        <x:f>IF(C211=0,"Partial only",IF(C211&gt;=2,"Yes","No"))</x:f>
        <x:v>No</x:v>
      </x:c>
      <x:c r="I211" s="11" t="n">
        <x:f>IF(C211=0,"",INT(G211/100)-INT(F211/100)+1)</x:f>
        <x:v>1</x:v>
      </x:c>
      <x:c r="J211" s="11" t="str">
        <x:v>Romance / New Adult</x:v>
      </x:c>
      <x:c r="K211" s="11" t="str">
        <x:v>Blanvalet</x:v>
      </x:c>
      <x:c r="L211" s="11" t="str">
        <x:v>2026-06-17</x:v>
      </x:c>
      <x:c r="M211" s="11" t="str">
        <x:v>978-3-7645-1014-5</x:v>
      </x:c>
      <x:c r="N211" s="11" t="str">
        <x:v>No</x:v>
      </x:c>
      <x:c r="O211" s="11"/>
      <x:c r="P211" s="11" t="str">
        <x:v>No</x:v>
      </x:c>
      <x:c r="Q211" s="11" t="str">
        <x:v>Full verified</x:v>
      </x:c>
    </x:row>
    <x:row r="212">
      <x:c r="A212" s="11" t="str">
        <x:v>Ember King</x:v>
      </x:c>
      <x:c r="B212" s="11" t="str">
        <x:v>Marie Niehoff</x:v>
      </x:c>
      <x:c r="C212" s="11" t="n">
        <x:f>COUNTIFS(Rankings_Master!$D$2:$D$788,A212,Rankings_Master!$E$2:$E$788,B212,Rankings_Master!$J$2:$J$788,"Yes")</x:f>
        <x:v>1</x:v>
      </x:c>
      <x:c r="D212" s="11" t="n">
        <x:f>IF(C212=0,"",MINIFS(Rankings_Master!$B$2:$B$788,Rankings_Master!$D$2:$D$788,A212,Rankings_Master!$E$2:$E$788,B212,Rankings_Master!$J$2:$J$788,"Yes"))</x:f>
        <x:v>10</x:v>
      </x:c>
      <x:c r="E212" s="14" t="n">
        <x:f>IF(C212=0,"",SUMIFS(Rankings_Master!$B$2:$B$788,Rankings_Master!$D$2:$D$788,A212,Rankings_Master!$E$2:$E$788,B212,Rankings_Master!$J$2:$J$788,"Yes")/C212)</x:f>
        <x:v>10</x:v>
      </x:c>
      <x:c r="F212" s="11" t="n">
        <x:f>IF(C212=0,"",MINIFS(Rankings_Master!$H$2:$H$788,Rankings_Master!$D$2:$D$788,A212,Rankings_Master!$E$2:$E$788,B212,Rankings_Master!$J$2:$J$788,"Yes"))</x:f>
        <x:v>202510</x:v>
      </x:c>
      <x:c r="G212" s="11" t="n">
        <x:f>IF(C212=0,"",MAXIFS(Rankings_Master!$H$2:$H$788,Rankings_Master!$D$2:$D$788,A212,Rankings_Master!$E$2:$E$788,B212,Rankings_Master!$J$2:$J$788,"Yes"))</x:f>
        <x:v>202510</x:v>
      </x:c>
      <x:c r="H212" s="11" t="str">
        <x:f>IF(C212=0,"Partial only",IF(C212&gt;=2,"Yes","No"))</x:f>
        <x:v>No</x:v>
      </x:c>
      <x:c r="I212" s="11" t="n">
        <x:f>IF(C212=0,"",INT(G212/100)-INT(F212/100)+1)</x:f>
        <x:v>1</x:v>
      </x:c>
      <x:c r="J212" s="11" t="str">
        <x:v>Fantasy / Romantasy</x:v>
      </x:c>
      <x:c r="K212" s="11" t="str">
        <x:v>KYSS / Rowohlt</x:v>
      </x:c>
      <x:c r="L212" s="11" t="str">
        <x:v>2025-10</x:v>
      </x:c>
      <x:c r="M212" s="11" t="str">
        <x:v>978-3-499-01637-0</x:v>
      </x:c>
      <x:c r="N212" s="11" t="str">
        <x:v>Yes</x:v>
      </x:c>
      <x:c r="O212" s="11" t="n">
        <x:v>3</x:v>
      </x:c>
      <x:c r="P212" s="11" t="str">
        <x:v>No</x:v>
      </x:c>
      <x:c r="Q212" s="11" t="str">
        <x:v>Core verified</x:v>
      </x:c>
    </x:row>
    <x:row r="213">
      <x:c r="A213" s="11" t="str">
        <x:v>Lucifer Ascending - One Sinful Secret</x:v>
      </x:c>
      <x:c r="B213" s="11" t="str">
        <x:v>Marie Niehoff</x:v>
      </x:c>
      <x:c r="C213" s="11" t="n">
        <x:f>COUNTIFS(Rankings_Master!$D$2:$D$788,A213,Rankings_Master!$E$2:$E$788,B213,Rankings_Master!$J$2:$J$788,"Yes")</x:f>
        <x:v>1</x:v>
      </x:c>
      <x:c r="D213" s="11" t="n">
        <x:f>IF(C213=0,"",MINIFS(Rankings_Master!$B$2:$B$788,Rankings_Master!$D$2:$D$788,A213,Rankings_Master!$E$2:$E$788,B213,Rankings_Master!$J$2:$J$788,"Yes"))</x:f>
        <x:v>4</x:v>
      </x:c>
      <x:c r="E213" s="14" t="n">
        <x:f>IF(C213=0,"",SUMIFS(Rankings_Master!$B$2:$B$788,Rankings_Master!$D$2:$D$788,A213,Rankings_Master!$E$2:$E$788,B213,Rankings_Master!$J$2:$J$788,"Yes")/C213)</x:f>
        <x:v>4</x:v>
      </x:c>
      <x:c r="F213" s="11" t="n">
        <x:f>IF(C213=0,"",MINIFS(Rankings_Master!$H$2:$H$788,Rankings_Master!$D$2:$D$788,A213,Rankings_Master!$E$2:$E$788,B213,Rankings_Master!$J$2:$J$788,"Yes"))</x:f>
        <x:v>202605</x:v>
      </x:c>
      <x:c r="G213" s="11" t="n">
        <x:f>IF(C213=0,"",MAXIFS(Rankings_Master!$H$2:$H$788,Rankings_Master!$D$2:$D$788,A213,Rankings_Master!$E$2:$E$788,B213,Rankings_Master!$J$2:$J$788,"Yes"))</x:f>
        <x:v>202605</x:v>
      </x:c>
      <x:c r="H213" s="11" t="str">
        <x:f>IF(C213=0,"Partial only",IF(C213&gt;=2,"Yes","No"))</x:f>
        <x:v>No</x:v>
      </x:c>
      <x:c r="I213" s="11" t="n">
        <x:f>IF(C213=0,"",INT(G213/100)-INT(F213/100)+1)</x:f>
        <x:v>1</x:v>
      </x:c>
      <x:c r="J213" s="11" t="str">
        <x:v>Fantasy / Romantasy</x:v>
      </x:c>
      <x:c r="K213" s="11" t="str">
        <x:v>KYSS / Rowohlt</x:v>
      </x:c>
      <x:c r="L213" s="11" t="str">
        <x:v>2026-05-15</x:v>
      </x:c>
      <x:c r="M213" s="11" t="str">
        <x:v>978-3-499-01707-0</x:v>
      </x:c>
      <x:c r="N213" s="11" t="str">
        <x:v>Yes</x:v>
      </x:c>
      <x:c r="O213" s="11" t="n">
        <x:v>1</x:v>
      </x:c>
      <x:c r="P213" s="11" t="str">
        <x:v>No</x:v>
      </x:c>
      <x:c r="Q213" s="11" t="str">
        <x:v>Full verified</x:v>
      </x:c>
    </x:row>
    <x:row r="214">
      <x:c r="A214" s="11" t="str">
        <x:v>The Queen Will Rise</x:v>
      </x:c>
      <x:c r="B214" s="11" t="str">
        <x:v>Marie Niehoff</x:v>
      </x:c>
      <x:c r="C214" s="11" t="n">
        <x:f>COUNTIFS(Rankings_Master!$D$2:$D$788,A214,Rankings_Master!$E$2:$E$788,B214,Rankings_Master!$J$2:$J$788,"Yes")</x:f>
        <x:v>2</x:v>
      </x:c>
      <x:c r="D214" s="11" t="n">
        <x:f>IF(C214=0,"",MINIFS(Rankings_Master!$B$2:$B$788,Rankings_Master!$D$2:$D$788,A214,Rankings_Master!$E$2:$E$788,B214,Rankings_Master!$J$2:$J$788,"Yes"))</x:f>
        <x:v>12</x:v>
      </x:c>
      <x:c r="E214" s="14" t="n">
        <x:f>IF(C214=0,"",SUMIFS(Rankings_Master!$B$2:$B$788,Rankings_Master!$D$2:$D$788,A214,Rankings_Master!$E$2:$E$788,B214,Rankings_Master!$J$2:$J$788,"Yes")/C214)</x:f>
        <x:v>13</x:v>
      </x:c>
      <x:c r="F214" s="11" t="n">
        <x:f>IF(C214=0,"",MINIFS(Rankings_Master!$H$2:$H$788,Rankings_Master!$D$2:$D$788,A214,Rankings_Master!$E$2:$E$788,B214,Rankings_Master!$J$2:$J$788,"Yes"))</x:f>
        <x:v>202401</x:v>
      </x:c>
      <x:c r="G214" s="11" t="n">
        <x:f>IF(C214=0,"",MAXIFS(Rankings_Master!$H$2:$H$788,Rankings_Master!$D$2:$D$788,A214,Rankings_Master!$E$2:$E$788,B214,Rankings_Master!$J$2:$J$788,"Yes"))</x:f>
        <x:v>202402</x:v>
      </x:c>
      <x:c r="H214" s="11" t="str">
        <x:f>IF(C214=0,"Partial only",IF(C214&gt;=2,"Yes","No"))</x:f>
        <x:v>Yes</x:v>
      </x:c>
      <x:c r="I214" s="11" t="n">
        <x:f>IF(C214=0,"",INT(G214/100)-INT(F214/100)+1)</x:f>
        <x:v>1</x:v>
      </x:c>
      <x:c r="J214" s="11" t="str">
        <x:v>Fantasy / Romantasy</x:v>
      </x:c>
      <x:c r="K214" s="11" t="str">
        <x:v>KYSS / Rowohlt</x:v>
      </x:c>
      <x:c r="L214" s="11" t="str">
        <x:v>2024-01-30</x:v>
      </x:c>
      <x:c r="M214" s="11" t="str">
        <x:v>978-3-499-01176-4</x:v>
      </x:c>
      <x:c r="N214" s="11" t="str">
        <x:v>Yes</x:v>
      </x:c>
      <x:c r="O214" s="11" t="n">
        <x:v>2</x:v>
      </x:c>
      <x:c r="P214" s="11" t="str">
        <x:v>No</x:v>
      </x:c>
      <x:c r="Q214" s="11" t="str">
        <x:v>Full verified</x:v>
      </x:c>
    </x:row>
    <x:row r="215">
      <x:c r="A215" s="11" t="str">
        <x:v>When The King Falls</x:v>
      </x:c>
      <x:c r="B215" s="11" t="str">
        <x:v>Marie Niehoff</x:v>
      </x:c>
      <x:c r="C215" s="11" t="n">
        <x:f>COUNTIFS(Rankings_Master!$D$2:$D$788,A215,Rankings_Master!$E$2:$E$788,B215,Rankings_Master!$J$2:$J$788,"Yes")</x:f>
        <x:v>2</x:v>
      </x:c>
      <x:c r="D215" s="11" t="n">
        <x:f>IF(C215=0,"",MINIFS(Rankings_Master!$B$2:$B$788,Rankings_Master!$D$2:$D$788,A215,Rankings_Master!$E$2:$E$788,B215,Rankings_Master!$J$2:$J$788,"Yes"))</x:f>
        <x:v>15</x:v>
      </x:c>
      <x:c r="E215" s="14" t="n">
        <x:f>IF(C215=0,"",SUMIFS(Rankings_Master!$B$2:$B$788,Rankings_Master!$D$2:$D$788,A215,Rankings_Master!$E$2:$E$788,B215,Rankings_Master!$J$2:$J$788,"Yes")/C215)</x:f>
        <x:v>16</x:v>
      </x:c>
      <x:c r="F215" s="11" t="n">
        <x:f>IF(C215=0,"",MINIFS(Rankings_Master!$H$2:$H$788,Rankings_Master!$D$2:$D$788,A215,Rankings_Master!$E$2:$E$788,B215,Rankings_Master!$J$2:$J$788,"Yes"))</x:f>
        <x:v>202310</x:v>
      </x:c>
      <x:c r="G215" s="11" t="n">
        <x:f>IF(C215=0,"",MAXIFS(Rankings_Master!$H$2:$H$788,Rankings_Master!$D$2:$D$788,A215,Rankings_Master!$E$2:$E$788,B215,Rankings_Master!$J$2:$J$788,"Yes"))</x:f>
        <x:v>202311</x:v>
      </x:c>
      <x:c r="H215" s="11" t="str">
        <x:f>IF(C215=0,"Partial only",IF(C215&gt;=2,"Yes","No"))</x:f>
        <x:v>Yes</x:v>
      </x:c>
      <x:c r="I215" s="11" t="n">
        <x:f>IF(C215=0,"",INT(G215/100)-INT(F215/100)+1)</x:f>
        <x:v>1</x:v>
      </x:c>
      <x:c r="J215" s="11" t="str">
        <x:v>Fantasy / Romantasy</x:v>
      </x:c>
      <x:c r="K215" s="11" t="str">
        <x:v>KYSS</x:v>
      </x:c>
      <x:c r="L215" s="11" t="str">
        <x:v>2023-10-17</x:v>
      </x:c>
      <x:c r="M215" s="11" t="str">
        <x:v>978-3-499-01175-7</x:v>
      </x:c>
      <x:c r="N215" s="11" t="str">
        <x:v>Yes</x:v>
      </x:c>
      <x:c r="O215" s="11" t="n">
        <x:v>1</x:v>
      </x:c>
      <x:c r="P215" s="11"/>
      <x:c r="Q215" s="11" t="str">
        <x:v>Full verified</x:v>
      </x:c>
    </x:row>
    <x:row r="216">
      <x:c r="A216" s="11" t="str">
        <x:v>Star-Crossed Hearts</x:v>
      </x:c>
      <x:c r="B216" s="11" t="str">
        <x:v>Marissa Meyer</x:v>
      </x:c>
      <x:c r="C216" s="11" t="n">
        <x:f>COUNTIFS(Rankings_Master!$D$2:$D$788,A216,Rankings_Master!$E$2:$E$788,B216,Rankings_Master!$J$2:$J$788,"Yes")</x:f>
        <x:v>1</x:v>
      </x:c>
      <x:c r="D216" s="11" t="n">
        <x:f>IF(C216=0,"",MINIFS(Rankings_Master!$B$2:$B$788,Rankings_Master!$D$2:$D$788,A216,Rankings_Master!$E$2:$E$788,B216,Rankings_Master!$J$2:$J$788,"Yes"))</x:f>
        <x:v>14</x:v>
      </x:c>
      <x:c r="E216" s="14" t="n">
        <x:f>IF(C216=0,"",SUMIFS(Rankings_Master!$B$2:$B$788,Rankings_Master!$D$2:$D$788,A216,Rankings_Master!$E$2:$E$788,B216,Rankings_Master!$J$2:$J$788,"Yes")/C216)</x:f>
        <x:v>14</x:v>
      </x:c>
      <x:c r="F216" s="11" t="n">
        <x:f>IF(C216=0,"",MINIFS(Rankings_Master!$H$2:$H$788,Rankings_Master!$D$2:$D$788,A216,Rankings_Master!$E$2:$E$788,B216,Rankings_Master!$J$2:$J$788,"Yes"))</x:f>
        <x:v>202509</x:v>
      </x:c>
      <x:c r="G216" s="11" t="n">
        <x:f>IF(C216=0,"",MAXIFS(Rankings_Master!$H$2:$H$788,Rankings_Master!$D$2:$D$788,A216,Rankings_Master!$E$2:$E$788,B216,Rankings_Master!$J$2:$J$788,"Yes"))</x:f>
        <x:v>202509</x:v>
      </x:c>
      <x:c r="H216" s="11" t="str">
        <x:f>IF(C216=0,"Partial only",IF(C216&gt;=2,"Yes","No"))</x:f>
        <x:v>No</x:v>
      </x:c>
      <x:c r="I216" s="11" t="n">
        <x:f>IF(C216=0,"",INT(G216/100)-INT(F216/100)+1)</x:f>
        <x:v>1</x:v>
      </x:c>
      <x:c r="J216" s="11" t="str">
        <x:v>Fantasy / YA</x:v>
      </x:c>
      <x:c r="K216" s="11" t="str">
        <x:v>arsEdition</x:v>
      </x:c>
      <x:c r="L216" s="11" t="str">
        <x:v>2025-09-26</x:v>
      </x:c>
      <x:c r="M216" s="11" t="str">
        <x:v>978-3-8458-6225-5</x:v>
      </x:c>
      <x:c r="N216" s="11" t="str">
        <x:v>No</x:v>
      </x:c>
      <x:c r="O216" s="11"/>
      <x:c r="P216" s="11" t="str">
        <x:v>No</x:v>
      </x:c>
      <x:c r="Q216" s="11" t="str">
        <x:v>Core verified</x:v>
      </x:c>
    </x:row>
    <x:row r="217">
      <x:c r="A217" s="11" t="str">
        <x:v>Die Mitternachtsbibliothek</x:v>
      </x:c>
      <x:c r="B217" s="11" t="str">
        <x:v>Matt Haig</x:v>
      </x:c>
      <x:c r="C217" s="11" t="n">
        <x:f>COUNTIFS(Rankings_Master!$D$2:$D$788,A217,Rankings_Master!$E$2:$E$788,B217,Rankings_Master!$J$2:$J$788,"Yes")</x:f>
        <x:v>20</x:v>
      </x:c>
      <x:c r="D217" s="11" t="n">
        <x:f>IF(C217=0,"",MINIFS(Rankings_Master!$B$2:$B$788,Rankings_Master!$D$2:$D$788,A217,Rankings_Master!$E$2:$E$788,B217,Rankings_Master!$J$2:$J$788,"Yes"))</x:f>
        <x:v>1</x:v>
      </x:c>
      <x:c r="E217" s="14" t="n">
        <x:f>IF(C217=0,"",SUMIFS(Rankings_Master!$B$2:$B$788,Rankings_Master!$D$2:$D$788,A217,Rankings_Master!$E$2:$E$788,B217,Rankings_Master!$J$2:$J$788,"Yes")/C217)</x:f>
        <x:v>9.5</x:v>
      </x:c>
      <x:c r="F217" s="11" t="n">
        <x:f>IF(C217=0,"",MINIFS(Rankings_Master!$H$2:$H$788,Rankings_Master!$D$2:$D$788,A217,Rankings_Master!$E$2:$E$788,B217,Rankings_Master!$J$2:$J$788,"Yes"))</x:f>
        <x:v>202304</x:v>
      </x:c>
      <x:c r="G217" s="11" t="n">
        <x:f>IF(C217=0,"",MAXIFS(Rankings_Master!$H$2:$H$788,Rankings_Master!$D$2:$D$788,A217,Rankings_Master!$E$2:$E$788,B217,Rankings_Master!$J$2:$J$788,"Yes"))</x:f>
        <x:v>202607</x:v>
      </x:c>
      <x:c r="H217" s="11" t="str">
        <x:f>IF(C217=0,"Partial only",IF(C217&gt;=2,"Yes","No"))</x:f>
        <x:v>Yes</x:v>
      </x:c>
      <x:c r="I217" s="11" t="n">
        <x:f>IF(C217=0,"",INT(G217/100)-INT(F217/100)+1)</x:f>
        <x:v>4</x:v>
      </x:c>
      <x:c r="J217" s="11" t="str">
        <x:v>Contemporary / Speculative</x:v>
      </x:c>
      <x:c r="K217" s="11" t="str">
        <x:v>Droemer TB</x:v>
      </x:c>
      <x:c r="L217" s="11" t="str">
        <x:v>2023-04-03</x:v>
      </x:c>
      <x:c r="M217" s="11" t="str">
        <x:v>978-3-426-30825-7</x:v>
      </x:c>
      <x:c r="N217" s="11" t="str">
        <x:v>No</x:v>
      </x:c>
      <x:c r="O217" s="11"/>
      <x:c r="P217" s="11" t="str">
        <x:v>No</x:v>
      </x:c>
      <x:c r="Q217" s="11" t="str">
        <x:v>Full verified</x:v>
      </x:c>
    </x:row>
    <x:row r="218">
      <x:c r="A218" s="11" t="str">
        <x:v>Die Mitternachtsreise</x:v>
      </x:c>
      <x:c r="B218" s="11" t="str">
        <x:v>Matt Haig</x:v>
      </x:c>
      <x:c r="C218" s="11" t="n">
        <x:f>COUNTIFS(Rankings_Master!$D$2:$D$788,A218,Rankings_Master!$E$2:$E$788,B218,Rankings_Master!$J$2:$J$788,"Yes")</x:f>
        <x:v>3</x:v>
      </x:c>
      <x:c r="D218" s="11" t="n">
        <x:f>IF(C218=0,"",MINIFS(Rankings_Master!$B$2:$B$788,Rankings_Master!$D$2:$D$788,A218,Rankings_Master!$E$2:$E$788,B218,Rankings_Master!$J$2:$J$788,"Yes"))</x:f>
        <x:v>13</x:v>
      </x:c>
      <x:c r="E218" s="14" t="n">
        <x:f>IF(C218=0,"",SUMIFS(Rankings_Master!$B$2:$B$788,Rankings_Master!$D$2:$D$788,A218,Rankings_Master!$E$2:$E$788,B218,Rankings_Master!$J$2:$J$788,"Yes")/C218)</x:f>
        <x:v>16</x:v>
      </x:c>
      <x:c r="F218" s="11" t="n">
        <x:f>IF(C218=0,"",MINIFS(Rankings_Master!$H$2:$H$788,Rankings_Master!$D$2:$D$788,A218,Rankings_Master!$E$2:$E$788,B218,Rankings_Master!$J$2:$J$788,"Yes"))</x:f>
        <x:v>202605</x:v>
      </x:c>
      <x:c r="G218" s="11" t="n">
        <x:f>IF(C218=0,"",MAXIFS(Rankings_Master!$H$2:$H$788,Rankings_Master!$D$2:$D$788,A218,Rankings_Master!$E$2:$E$788,B218,Rankings_Master!$J$2:$J$788,"Yes"))</x:f>
        <x:v>202607</x:v>
      </x:c>
      <x:c r="H218" s="11" t="str">
        <x:f>IF(C218=0,"Partial only",IF(C218&gt;=2,"Yes","No"))</x:f>
        <x:v>Yes</x:v>
      </x:c>
      <x:c r="I218" s="11" t="n">
        <x:f>IF(C218=0,"",INT(G218/100)-INT(F218/100)+1)</x:f>
        <x:v>1</x:v>
      </x:c>
      <x:c r="J218" s="11" t="str">
        <x:v>Contemporary / Speculative Fiction</x:v>
      </x:c>
      <x:c r="K218" s="11" t="str">
        <x:v>Droemer</x:v>
      </x:c>
      <x:c r="L218" s="11" t="str">
        <x:v>2026-05-21</x:v>
      </x:c>
      <x:c r="M218" s="11" t="str">
        <x:v>978-3-426-56249-9</x:v>
      </x:c>
      <x:c r="N218" s="11" t="str">
        <x:v>No</x:v>
      </x:c>
      <x:c r="O218" s="11"/>
      <x:c r="P218" s="11" t="str">
        <x:v>No</x:v>
      </x:c>
      <x:c r="Q218" s="11" t="str">
        <x:v>Full verified</x:v>
      </x:c>
    </x:row>
    <x:row r="219">
      <x:c r="A219" s="11" t="str">
        <x:v>Die LET THEM Theorie</x:v>
      </x:c>
      <x:c r="B219" s="11" t="str">
        <x:v>Mel Robbins, Sawyer Robbins</x:v>
      </x:c>
      <x:c r="C219" s="11" t="n">
        <x:f>COUNTIFS(Rankings_Master!$D$2:$D$788,A219,Rankings_Master!$E$2:$E$788,B219,Rankings_Master!$J$2:$J$788,"Yes")</x:f>
        <x:v>12</x:v>
      </x:c>
      <x:c r="D219" s="11" t="n">
        <x:f>IF(C219=0,"",MINIFS(Rankings_Master!$B$2:$B$788,Rankings_Master!$D$2:$D$788,A219,Rankings_Master!$E$2:$E$788,B219,Rankings_Master!$J$2:$J$788,"Yes"))</x:f>
        <x:v>5</x:v>
      </x:c>
      <x:c r="E219" s="14" t="n">
        <x:f>IF(C219=0,"",SUMIFS(Rankings_Master!$B$2:$B$788,Rankings_Master!$D$2:$D$788,A219,Rankings_Master!$E$2:$E$788,B219,Rankings_Master!$J$2:$J$788,"Yes")/C219)</x:f>
        <x:v>12.833333333333334</x:v>
      </x:c>
      <x:c r="F219" s="11" t="n">
        <x:f>IF(C219=0,"",MINIFS(Rankings_Master!$H$2:$H$788,Rankings_Master!$D$2:$D$788,A219,Rankings_Master!$E$2:$E$788,B219,Rankings_Master!$J$2:$J$788,"Yes"))</x:f>
        <x:v>202505</x:v>
      </x:c>
      <x:c r="G219" s="11" t="n">
        <x:f>IF(C219=0,"",MAXIFS(Rankings_Master!$H$2:$H$788,Rankings_Master!$D$2:$D$788,A219,Rankings_Master!$E$2:$E$788,B219,Rankings_Master!$J$2:$J$788,"Yes"))</x:f>
        <x:v>202607</x:v>
      </x:c>
      <x:c r="H219" s="11" t="str">
        <x:f>IF(C219=0,"Partial only",IF(C219&gt;=2,"Yes","No"))</x:f>
        <x:v>Yes</x:v>
      </x:c>
      <x:c r="I219" s="11" t="n">
        <x:f>IF(C219=0,"",INT(G219/100)-INT(F219/100)+1)</x:f>
        <x:v>2</x:v>
      </x:c>
      <x:c r="J219" s="11" t="str">
        <x:v>Self-Help / Psychology</x:v>
      </x:c>
      <x:c r="K219" s="11" t="str">
        <x:v>Goldmann</x:v>
      </x:c>
      <x:c r="L219" s="11" t="str">
        <x:v>2025-05</x:v>
      </x:c>
      <x:c r="M219" s="11" t="str">
        <x:v>978-3-442-18065-3</x:v>
      </x:c>
      <x:c r="N219" s="11" t="str">
        <x:v>No</x:v>
      </x:c>
      <x:c r="O219" s="11"/>
      <x:c r="P219" s="11" t="str">
        <x:v>No</x:v>
      </x:c>
      <x:c r="Q219" s="11" t="str">
        <x:v>Core verified</x:v>
      </x:c>
    </x:row>
    <x:row r="220">
      <x:c r="A220" s="11" t="str">
        <x:v>Culpa Mía - Meine Schuld</x:v>
      </x:c>
      <x:c r="B220" s="11" t="str">
        <x:v>Mercedes Ron</x:v>
      </x:c>
      <x:c r="C220" s="11" t="n">
        <x:f>COUNTIFS(Rankings_Master!$D$2:$D$788,A220,Rankings_Master!$E$2:$E$788,B220,Rankings_Master!$J$2:$J$788,"Yes")</x:f>
        <x:v>9</x:v>
      </x:c>
      <x:c r="D220" s="11" t="n">
        <x:f>IF(C220=0,"",MINIFS(Rankings_Master!$B$2:$B$788,Rankings_Master!$D$2:$D$788,A220,Rankings_Master!$E$2:$E$788,B220,Rankings_Master!$J$2:$J$788,"Yes"))</x:f>
        <x:v>1</x:v>
      </x:c>
      <x:c r="E220" s="14" t="n">
        <x:f>IF(C220=0,"",SUMIFS(Rankings_Master!$B$2:$B$788,Rankings_Master!$D$2:$D$788,A220,Rankings_Master!$E$2:$E$788,B220,Rankings_Master!$J$2:$J$788,"Yes")/C220)</x:f>
        <x:v>9.11111111111111</x:v>
      </x:c>
      <x:c r="F220" s="11" t="n">
        <x:f>IF(C220=0,"",MINIFS(Rankings_Master!$H$2:$H$788,Rankings_Master!$D$2:$D$788,A220,Rankings_Master!$E$2:$E$788,B220,Rankings_Master!$J$2:$J$788,"Yes"))</x:f>
        <x:v>202407</x:v>
      </x:c>
      <x:c r="G220" s="11" t="n">
        <x:f>IF(C220=0,"",MAXIFS(Rankings_Master!$H$2:$H$788,Rankings_Master!$D$2:$D$788,A220,Rankings_Master!$E$2:$E$788,B220,Rankings_Master!$J$2:$J$788,"Yes"))</x:f>
        <x:v>202504</x:v>
      </x:c>
      <x:c r="H220" s="11" t="str">
        <x:f>IF(C220=0,"Partial only",IF(C220&gt;=2,"Yes","No"))</x:f>
        <x:v>Yes</x:v>
      </x:c>
      <x:c r="I220" s="11" t="n">
        <x:f>IF(C220=0,"",INT(G220/100)-INT(F220/100)+1)</x:f>
        <x:v>2</x:v>
      </x:c>
      <x:c r="J220" s="11" t="str">
        <x:v>Romance / New Adult</x:v>
      </x:c>
      <x:c r="K220" s="11" t="str">
        <x:v>cbt</x:v>
      </x:c>
      <x:c r="L220" s="11" t="str">
        <x:v>2024-03-13</x:v>
      </x:c>
      <x:c r="M220" s="11" t="str">
        <x:v>978-3-570-31654-2</x:v>
      </x:c>
      <x:c r="N220" s="11" t="str">
        <x:v>Yes</x:v>
      </x:c>
      <x:c r="O220" s="11" t="n">
        <x:v>1</x:v>
      </x:c>
      <x:c r="P220" s="11" t="str">
        <x:v>No</x:v>
      </x:c>
      <x:c r="Q220" s="11" t="str">
        <x:v>Full verified</x:v>
      </x:c>
    </x:row>
    <x:row r="221">
      <x:c r="A221" s="11" t="str">
        <x:v>Culpa Nuestra - Unsere Schuld</x:v>
      </x:c>
      <x:c r="B221" s="11" t="str">
        <x:v>Mercedes Ron</x:v>
      </x:c>
      <x:c r="C221" s="11" t="n">
        <x:f>COUNTIFS(Rankings_Master!$D$2:$D$788,A221,Rankings_Master!$E$2:$E$788,B221,Rankings_Master!$J$2:$J$788,"Yes")</x:f>
        <x:v>2</x:v>
      </x:c>
      <x:c r="D221" s="11" t="n">
        <x:f>IF(C221=0,"",MINIFS(Rankings_Master!$B$2:$B$788,Rankings_Master!$D$2:$D$788,A221,Rankings_Master!$E$2:$E$788,B221,Rankings_Master!$J$2:$J$788,"Yes"))</x:f>
        <x:v>2</x:v>
      </x:c>
      <x:c r="E221" s="14" t="n">
        <x:f>IF(C221=0,"",SUMIFS(Rankings_Master!$B$2:$B$788,Rankings_Master!$D$2:$D$788,A221,Rankings_Master!$E$2:$E$788,B221,Rankings_Master!$J$2:$J$788,"Yes")/C221)</x:f>
        <x:v>4.5</x:v>
      </x:c>
      <x:c r="F221" s="11" t="n">
        <x:f>IF(C221=0,"",MINIFS(Rankings_Master!$H$2:$H$788,Rankings_Master!$D$2:$D$788,A221,Rankings_Master!$E$2:$E$788,B221,Rankings_Master!$J$2:$J$788,"Yes"))</x:f>
        <x:v>202503</x:v>
      </x:c>
      <x:c r="G221" s="11" t="n">
        <x:f>IF(C221=0,"",MAXIFS(Rankings_Master!$H$2:$H$788,Rankings_Master!$D$2:$D$788,A221,Rankings_Master!$E$2:$E$788,B221,Rankings_Master!$J$2:$J$788,"Yes"))</x:f>
        <x:v>202504</x:v>
      </x:c>
      <x:c r="H221" s="11" t="str">
        <x:f>IF(C221=0,"Partial only",IF(C221&gt;=2,"Yes","No"))</x:f>
        <x:v>Yes</x:v>
      </x:c>
      <x:c r="I221" s="11" t="n">
        <x:f>IF(C221=0,"",INT(G221/100)-INT(F221/100)+1)</x:f>
        <x:v>1</x:v>
      </x:c>
      <x:c r="J221" s="11" t="str">
        <x:v>Romance / New Adult</x:v>
      </x:c>
      <x:c r="K221" s="11" t="str">
        <x:v>cbt</x:v>
      </x:c>
      <x:c r="L221" s="11" t="str">
        <x:v>2024-10-16</x:v>
      </x:c>
      <x:c r="M221" s="11"/>
      <x:c r="N221" s="11" t="str">
        <x:v>Yes</x:v>
      </x:c>
      <x:c r="O221" s="11" t="n">
        <x:v>3</x:v>
      </x:c>
      <x:c r="P221" s="11" t="str">
        <x:v>No</x:v>
      </x:c>
      <x:c r="Q221" s="11" t="str">
        <x:v>Edition ambiguous</x:v>
      </x:c>
    </x:row>
    <x:row r="222">
      <x:c r="A222" s="11" t="str">
        <x:v>Culpa Tuya - Deine Schuld</x:v>
      </x:c>
      <x:c r="B222" s="11" t="str">
        <x:v>Mercedes Ron</x:v>
      </x:c>
      <x:c r="C222" s="11" t="n">
        <x:f>COUNTIFS(Rankings_Master!$D$2:$D$788,A222,Rankings_Master!$E$2:$E$788,B222,Rankings_Master!$J$2:$J$788,"Yes")</x:f>
        <x:v>8</x:v>
      </x:c>
      <x:c r="D222" s="11" t="n">
        <x:f>IF(C222=0,"",MINIFS(Rankings_Master!$B$2:$B$788,Rankings_Master!$D$2:$D$788,A222,Rankings_Master!$E$2:$E$788,B222,Rankings_Master!$J$2:$J$788,"Yes"))</x:f>
        <x:v>8</x:v>
      </x:c>
      <x:c r="E222" s="14" t="n">
        <x:f>IF(C222=0,"",SUMIFS(Rankings_Master!$B$2:$B$788,Rankings_Master!$D$2:$D$788,A222,Rankings_Master!$E$2:$E$788,B222,Rankings_Master!$J$2:$J$788,"Yes")/C222)</x:f>
        <x:v>12.125</x:v>
      </x:c>
      <x:c r="F222" s="11" t="n">
        <x:f>IF(C222=0,"",MINIFS(Rankings_Master!$H$2:$H$788,Rankings_Master!$D$2:$D$788,A222,Rankings_Master!$E$2:$E$788,B222,Rankings_Master!$J$2:$J$788,"Yes"))</x:f>
        <x:v>202406</x:v>
      </x:c>
      <x:c r="G222" s="11" t="n">
        <x:f>IF(C222=0,"",MAXIFS(Rankings_Master!$H$2:$H$788,Rankings_Master!$D$2:$D$788,A222,Rankings_Master!$E$2:$E$788,B222,Rankings_Master!$J$2:$J$788,"Yes"))</x:f>
        <x:v>202503</x:v>
      </x:c>
      <x:c r="H222" s="11" t="str">
        <x:f>IF(C222=0,"Partial only",IF(C222&gt;=2,"Yes","No"))</x:f>
        <x:v>Yes</x:v>
      </x:c>
      <x:c r="I222" s="11" t="n">
        <x:f>IF(C222=0,"",INT(G222/100)-INT(F222/100)+1)</x:f>
        <x:v>2</x:v>
      </x:c>
      <x:c r="J222" s="11" t="str">
        <x:v>Romance / New Adult</x:v>
      </x:c>
      <x:c r="K222" s="11" t="str">
        <x:v>cbt</x:v>
      </x:c>
      <x:c r="L222" s="11" t="str">
        <x:v>2024-06-12</x:v>
      </x:c>
      <x:c r="M222" s="11" t="str">
        <x:v>978-3-570-31663-4</x:v>
      </x:c>
      <x:c r="N222" s="11" t="str">
        <x:v>Yes</x:v>
      </x:c>
      <x:c r="O222" s="11" t="n">
        <x:v>2</x:v>
      </x:c>
      <x:c r="P222" s="11" t="str">
        <x:v>No</x:v>
      </x:c>
      <x:c r="Q222" s="11" t="str">
        <x:v>Full verified</x:v>
      </x:c>
    </x:row>
    <x:row r="223">
      <x:c r="A223" s="11" t="str">
        <x:v>Tell Me with Kisses</x:v>
      </x:c>
      <x:c r="B223" s="11" t="str">
        <x:v>Mercedes Ron</x:v>
      </x:c>
      <x:c r="C223" s="11" t="n">
        <x:f>COUNTIFS(Rankings_Master!$D$2:$D$788,A223,Rankings_Master!$E$2:$E$788,B223,Rankings_Master!$J$2:$J$788,"Yes")</x:f>
        <x:v>1</x:v>
      </x:c>
      <x:c r="D223" s="11" t="n">
        <x:f>IF(C223=0,"",MINIFS(Rankings_Master!$B$2:$B$788,Rankings_Master!$D$2:$D$788,A223,Rankings_Master!$E$2:$E$788,B223,Rankings_Master!$J$2:$J$788,"Yes"))</x:f>
        <x:v>7</x:v>
      </x:c>
      <x:c r="E223" s="14" t="n">
        <x:f>IF(C223=0,"",SUMIFS(Rankings_Master!$B$2:$B$788,Rankings_Master!$D$2:$D$788,A223,Rankings_Master!$E$2:$E$788,B223,Rankings_Master!$J$2:$J$788,"Yes")/C223)</x:f>
        <x:v>7</x:v>
      </x:c>
      <x:c r="F223" s="11" t="n">
        <x:f>IF(C223=0,"",MINIFS(Rankings_Master!$H$2:$H$788,Rankings_Master!$D$2:$D$788,A223,Rankings_Master!$E$2:$E$788,B223,Rankings_Master!$J$2:$J$788,"Yes"))</x:f>
        <x:v>202602</x:v>
      </x:c>
      <x:c r="G223" s="11" t="n">
        <x:f>IF(C223=0,"",MAXIFS(Rankings_Master!$H$2:$H$788,Rankings_Master!$D$2:$D$788,A223,Rankings_Master!$E$2:$E$788,B223,Rankings_Master!$J$2:$J$788,"Yes"))</x:f>
        <x:v>202602</x:v>
      </x:c>
      <x:c r="H223" s="11" t="str">
        <x:f>IF(C223=0,"Partial only",IF(C223&gt;=2,"Yes","No"))</x:f>
        <x:v>No</x:v>
      </x:c>
      <x:c r="I223" s="11" t="n">
        <x:f>IF(C223=0,"",INT(G223/100)-INT(F223/100)+1)</x:f>
        <x:v>1</x:v>
      </x:c>
      <x:c r="J223" s="11" t="str">
        <x:v>Romance / New Adult</x:v>
      </x:c>
      <x:c r="K223" s="11" t="str">
        <x:v>cbt</x:v>
      </x:c>
      <x:c r="L223" s="11" t="str">
        <x:v>2026-02-11</x:v>
      </x:c>
      <x:c r="M223" s="11" t="str">
        <x:v>978-3-570-31728-0</x:v>
      </x:c>
      <x:c r="N223" s="11" t="str">
        <x:v>Yes</x:v>
      </x:c>
      <x:c r="O223" s="11" t="n">
        <x:v>3</x:v>
      </x:c>
      <x:c r="P223" s="11" t="str">
        <x:v>No</x:v>
      </x:c>
      <x:c r="Q223" s="11" t="str">
        <x:v>Full verified</x:v>
      </x:c>
    </x:row>
    <x:row r="224">
      <x:c r="A224" s="11" t="str">
        <x:v>Wenn nicht jetzt, wann dann</x:v>
      </x:c>
      <x:c r="B224" s="11" t="str">
        <x:v>Mimi Lawrence</x:v>
      </x:c>
      <x:c r="C224" s="11" t="n">
        <x:f>COUNTIFS(Rankings_Master!$D$2:$D$788,A224,Rankings_Master!$E$2:$E$788,B224,Rankings_Master!$J$2:$J$788,"Yes")</x:f>
        <x:v>1</x:v>
      </x:c>
      <x:c r="D224" s="11" t="n">
        <x:f>IF(C224=0,"",MINIFS(Rankings_Master!$B$2:$B$788,Rankings_Master!$D$2:$D$788,A224,Rankings_Master!$E$2:$E$788,B224,Rankings_Master!$J$2:$J$788,"Yes"))</x:f>
        <x:v>11</x:v>
      </x:c>
      <x:c r="E224" s="14" t="n">
        <x:f>IF(C224=0,"",SUMIFS(Rankings_Master!$B$2:$B$788,Rankings_Master!$D$2:$D$788,A224,Rankings_Master!$E$2:$E$788,B224,Rankings_Master!$J$2:$J$788,"Yes")/C224)</x:f>
        <x:v>11</x:v>
      </x:c>
      <x:c r="F224" s="11" t="n">
        <x:f>IF(C224=0,"",MINIFS(Rankings_Master!$H$2:$H$788,Rankings_Master!$D$2:$D$788,A224,Rankings_Master!$E$2:$E$788,B224,Rankings_Master!$J$2:$J$788,"Yes"))</x:f>
        <x:v>202506</x:v>
      </x:c>
      <x:c r="G224" s="11" t="n">
        <x:f>IF(C224=0,"",MAXIFS(Rankings_Master!$H$2:$H$788,Rankings_Master!$D$2:$D$788,A224,Rankings_Master!$E$2:$E$788,B224,Rankings_Master!$J$2:$J$788,"Yes"))</x:f>
        <x:v>202506</x:v>
      </x:c>
      <x:c r="H224" s="11" t="str">
        <x:f>IF(C224=0,"Partial only",IF(C224&gt;=2,"Yes","No"))</x:f>
        <x:v>No</x:v>
      </x:c>
      <x:c r="I224" s="11" t="n">
        <x:f>IF(C224=0,"",INT(G224/100)-INT(F224/100)+1)</x:f>
        <x:v>1</x:v>
      </x:c>
      <x:c r="J224" s="11" t="str">
        <x:v>Self-Help / Women's Health</x:v>
      </x:c>
      <x:c r="K224" s="11" t="str">
        <x:v>FISCHER</x:v>
      </x:c>
      <x:c r="L224" s="11" t="str">
        <x:v>2025-05-28</x:v>
      </x:c>
      <x:c r="M224" s="11" t="str">
        <x:v>978-3-7587-0026-2</x:v>
      </x:c>
      <x:c r="N224" s="11" t="str">
        <x:v>No</x:v>
      </x:c>
      <x:c r="O224" s="11"/>
      <x:c r="P224" s="11" t="str">
        <x:v>No</x:v>
      </x:c>
      <x:c r="Q224" s="11" t="str">
        <x:v>Full verified</x:v>
      </x:c>
    </x:row>
    <x:row r="225">
      <x:c r="A225" s="11" t="str">
        <x:v>Fallen Princess</x:v>
      </x:c>
      <x:c r="B225" s="11" t="str">
        <x:v>Mona Kasten</x:v>
      </x:c>
      <x:c r="C225" s="11" t="n">
        <x:f>COUNTIFS(Rankings_Master!$D$2:$D$788,A225,Rankings_Master!$E$2:$E$788,B225,Rankings_Master!$J$2:$J$788,"Yes")</x:f>
        <x:v>3</x:v>
      </x:c>
      <x:c r="D225" s="11" t="n">
        <x:f>IF(C225=0,"",MINIFS(Rankings_Master!$B$2:$B$788,Rankings_Master!$D$2:$D$788,A225,Rankings_Master!$E$2:$E$788,B225,Rankings_Master!$J$2:$J$788,"Yes"))</x:f>
        <x:v>1</x:v>
      </x:c>
      <x:c r="E225" s="14" t="n">
        <x:f>IF(C225=0,"",SUMIFS(Rankings_Master!$B$2:$B$788,Rankings_Master!$D$2:$D$788,A225,Rankings_Master!$E$2:$E$788,B225,Rankings_Master!$J$2:$J$788,"Yes")/C225)</x:f>
        <x:v>10</x:v>
      </x:c>
      <x:c r="F225" s="11" t="n">
        <x:f>IF(C225=0,"",MINIFS(Rankings_Master!$H$2:$H$788,Rankings_Master!$D$2:$D$788,A225,Rankings_Master!$E$2:$E$788,B225,Rankings_Master!$J$2:$J$788,"Yes"))</x:f>
        <x:v>202311</x:v>
      </x:c>
      <x:c r="G225" s="11" t="n">
        <x:f>IF(C225=0,"",MAXIFS(Rankings_Master!$H$2:$H$788,Rankings_Master!$D$2:$D$788,A225,Rankings_Master!$E$2:$E$788,B225,Rankings_Master!$J$2:$J$788,"Yes"))</x:f>
        <x:v>202401</x:v>
      </x:c>
      <x:c r="H225" s="11" t="str">
        <x:f>IF(C225=0,"Partial only",IF(C225&gt;=2,"Yes","No"))</x:f>
        <x:v>Yes</x:v>
      </x:c>
      <x:c r="I225" s="11" t="n">
        <x:f>IF(C225=0,"",INT(G225/100)-INT(F225/100)+1)</x:f>
        <x:v>2</x:v>
      </x:c>
      <x:c r="J225" s="11" t="str">
        <x:v>Fantasy / Romantasy</x:v>
      </x:c>
      <x:c r="K225" s="11" t="str">
        <x:v>LYX</x:v>
      </x:c>
      <x:c r="L225" s="11" t="str">
        <x:v>2023</x:v>
      </x:c>
      <x:c r="M225" s="11" t="str">
        <x:v>978-3-7363-2148-9</x:v>
      </x:c>
      <x:c r="N225" s="11" t="str">
        <x:v>Yes</x:v>
      </x:c>
      <x:c r="O225" s="11" t="n">
        <x:v>1</x:v>
      </x:c>
      <x:c r="P225" s="11" t="str">
        <x:v>No</x:v>
      </x:c>
      <x:c r="Q225" s="11" t="str">
        <x:v>Full verified</x:v>
      </x:c>
    </x:row>
    <x:row r="226">
      <x:c r="A226" s="11" t="str">
        <x:v>Gentle Heart</x:v>
      </x:c>
      <x:c r="B226" s="11" t="str">
        <x:v>Mona Kasten</x:v>
      </x:c>
      <x:c r="C226" s="11" t="n">
        <x:f>COUNTIFS(Rankings_Master!$D$2:$D$788,A226,Rankings_Master!$E$2:$E$788,B226,Rankings_Master!$J$2:$J$788,"Yes")</x:f>
        <x:v>1</x:v>
      </x:c>
      <x:c r="D226" s="11" t="n">
        <x:f>IF(C226=0,"",MINIFS(Rankings_Master!$B$2:$B$788,Rankings_Master!$D$2:$D$788,A226,Rankings_Master!$E$2:$E$788,B226,Rankings_Master!$J$2:$J$788,"Yes"))</x:f>
        <x:v>15</x:v>
      </x:c>
      <x:c r="E226" s="14" t="n">
        <x:f>IF(C226=0,"",SUMIFS(Rankings_Master!$B$2:$B$788,Rankings_Master!$D$2:$D$788,A226,Rankings_Master!$E$2:$E$788,B226,Rankings_Master!$J$2:$J$788,"Yes")/C226)</x:f>
        <x:v>15</x:v>
      </x:c>
      <x:c r="F226" s="11" t="n">
        <x:f>IF(C226=0,"",MINIFS(Rankings_Master!$H$2:$H$788,Rankings_Master!$D$2:$D$788,A226,Rankings_Master!$E$2:$E$788,B226,Rankings_Master!$J$2:$J$788,"Yes"))</x:f>
        <x:v>202509</x:v>
      </x:c>
      <x:c r="G226" s="11" t="n">
        <x:f>IF(C226=0,"",MAXIFS(Rankings_Master!$H$2:$H$788,Rankings_Master!$D$2:$D$788,A226,Rankings_Master!$E$2:$E$788,B226,Rankings_Master!$J$2:$J$788,"Yes"))</x:f>
        <x:v>202509</x:v>
      </x:c>
      <x:c r="H226" s="11" t="str">
        <x:f>IF(C226=0,"Partial only",IF(C226&gt;=2,"Yes","No"))</x:f>
        <x:v>No</x:v>
      </x:c>
      <x:c r="I226" s="11" t="n">
        <x:f>IF(C226=0,"",INT(G226/100)-INT(F226/100)+1)</x:f>
        <x:v>1</x:v>
      </x:c>
      <x:c r="J226" s="11" t="str">
        <x:v>Romance / New Adult</x:v>
      </x:c>
      <x:c r="K226" s="11" t="str">
        <x:v>LYX</x:v>
      </x:c>
      <x:c r="L226" s="11" t="str">
        <x:v>2025-09-02</x:v>
      </x:c>
      <x:c r="M226" s="11" t="str">
        <x:v>978-3-7363-2700-9</x:v>
      </x:c>
      <x:c r="N226" s="11" t="str">
        <x:v>No</x:v>
      </x:c>
      <x:c r="O226" s="11"/>
      <x:c r="P226" s="11" t="str">
        <x:v>No</x:v>
      </x:c>
      <x:c r="Q226" s="11" t="str">
        <x:v>Core verified</x:v>
      </x:c>
    </x:row>
    <x:row r="227">
      <x:c r="A227" s="11" t="str">
        <x:v>Save Me</x:v>
      </x:c>
      <x:c r="B227" s="11" t="str">
        <x:v>Mona Kasten</x:v>
      </x:c>
      <x:c r="C227" s="11" t="n">
        <x:f>COUNTIFS(Rankings_Master!$D$2:$D$788,A227,Rankings_Master!$E$2:$E$788,B227,Rankings_Master!$J$2:$J$788,"Yes")</x:f>
        <x:v>4</x:v>
      </x:c>
      <x:c r="D227" s="11" t="n">
        <x:f>IF(C227=0,"",MINIFS(Rankings_Master!$B$2:$B$788,Rankings_Master!$D$2:$D$788,A227,Rankings_Master!$E$2:$E$788,B227,Rankings_Master!$J$2:$J$788,"Yes"))</x:f>
        <x:v>1</x:v>
      </x:c>
      <x:c r="E227" s="14" t="n">
        <x:f>IF(C227=0,"",SUMIFS(Rankings_Master!$B$2:$B$788,Rankings_Master!$D$2:$D$788,A227,Rankings_Master!$E$2:$E$788,B227,Rankings_Master!$J$2:$J$788,"Yes")/C227)</x:f>
        <x:v>5</x:v>
      </x:c>
      <x:c r="F227" s="11" t="n">
        <x:f>IF(C227=0,"",MINIFS(Rankings_Master!$H$2:$H$788,Rankings_Master!$D$2:$D$788,A227,Rankings_Master!$E$2:$E$788,B227,Rankings_Master!$J$2:$J$788,"Yes"))</x:f>
        <x:v>202403</x:v>
      </x:c>
      <x:c r="G227" s="11" t="n">
        <x:f>IF(C227=0,"",MAXIFS(Rankings_Master!$H$2:$H$788,Rankings_Master!$D$2:$D$788,A227,Rankings_Master!$E$2:$E$788,B227,Rankings_Master!$J$2:$J$788,"Yes"))</x:f>
        <x:v>202409</x:v>
      </x:c>
      <x:c r="H227" s="11" t="str">
        <x:f>IF(C227=0,"Partial only",IF(C227&gt;=2,"Yes","No"))</x:f>
        <x:v>Yes</x:v>
      </x:c>
      <x:c r="I227" s="11" t="n">
        <x:f>IF(C227=0,"",INT(G227/100)-INT(F227/100)+1)</x:f>
        <x:v>1</x:v>
      </x:c>
      <x:c r="J227" s="11" t="str">
        <x:v>Romance / New Adult</x:v>
      </x:c>
      <x:c r="K227" s="11" t="str">
        <x:v>LYX</x:v>
      </x:c>
      <x:c r="L227" s="11" t="str">
        <x:v>2024-03-05</x:v>
      </x:c>
      <x:c r="M227" s="11" t="str">
        <x:v>978-3-7363-2300-1</x:v>
      </x:c>
      <x:c r="N227" s="11" t="str">
        <x:v>Yes</x:v>
      </x:c>
      <x:c r="O227" s="11" t="n">
        <x:v>1</x:v>
      </x:c>
      <x:c r="P227" s="11" t="str">
        <x:v>No</x:v>
      </x:c>
      <x:c r="Q227" s="11" t="str">
        <x:v>Full verified</x:v>
      </x:c>
    </x:row>
    <x:row r="228">
      <x:c r="A228" s="11" t="str">
        <x:v>Lights Out</x:v>
      </x:c>
      <x:c r="B228" s="11" t="str">
        <x:v>Navessa Allen</x:v>
      </x:c>
      <x:c r="C228" s="11" t="n">
        <x:f>COUNTIFS(Rankings_Master!$D$2:$D$788,A228,Rankings_Master!$E$2:$E$788,B228,Rankings_Master!$J$2:$J$788,"Yes")</x:f>
        <x:v>5</x:v>
      </x:c>
      <x:c r="D228" s="11" t="n">
        <x:f>IF(C228=0,"",MINIFS(Rankings_Master!$B$2:$B$788,Rankings_Master!$D$2:$D$788,A228,Rankings_Master!$E$2:$E$788,B228,Rankings_Master!$J$2:$J$788,"Yes"))</x:f>
        <x:v>8</x:v>
      </x:c>
      <x:c r="E228" s="14" t="n">
        <x:f>IF(C228=0,"",SUMIFS(Rankings_Master!$B$2:$B$788,Rankings_Master!$D$2:$D$788,A228,Rankings_Master!$E$2:$E$788,B228,Rankings_Master!$J$2:$J$788,"Yes")/C228)</x:f>
        <x:v>13.8</x:v>
      </x:c>
      <x:c r="F228" s="11" t="n">
        <x:f>IF(C228=0,"",MINIFS(Rankings_Master!$H$2:$H$788,Rankings_Master!$D$2:$D$788,A228,Rankings_Master!$E$2:$E$788,B228,Rankings_Master!$J$2:$J$788,"Yes"))</x:f>
        <x:v>202510</x:v>
      </x:c>
      <x:c r="G228" s="11" t="n">
        <x:f>IF(C228=0,"",MAXIFS(Rankings_Master!$H$2:$H$788,Rankings_Master!$D$2:$D$788,A228,Rankings_Master!$E$2:$E$788,B228,Rankings_Master!$J$2:$J$788,"Yes"))</x:f>
        <x:v>202604</x:v>
      </x:c>
      <x:c r="H228" s="11" t="str">
        <x:f>IF(C228=0,"Partial only",IF(C228&gt;=2,"Yes","No"))</x:f>
        <x:v>Yes</x:v>
      </x:c>
      <x:c r="I228" s="11" t="n">
        <x:f>IF(C228=0,"",INT(G228/100)-INT(F228/100)+1)</x:f>
        <x:v>2</x:v>
      </x:c>
      <x:c r="J228" s="11" t="str">
        <x:v>Dark Romance / Romcom</x:v>
      </x:c>
      <x:c r="K228" s="11" t="str">
        <x:v>everlove / Piper</x:v>
      </x:c>
      <x:c r="L228" s="11" t="str">
        <x:v>2025-10-02</x:v>
      </x:c>
      <x:c r="M228" s="11" t="str">
        <x:v>978-3-492-06731-7</x:v>
      </x:c>
      <x:c r="N228" s="11" t="str">
        <x:v>Yes</x:v>
      </x:c>
      <x:c r="O228" s="11" t="n">
        <x:v>1</x:v>
      </x:c>
      <x:c r="P228" s="11" t="str">
        <x:v>No</x:v>
      </x:c>
      <x:c r="Q228" s="11" t="str">
        <x:v>Full verified</x:v>
      </x:c>
    </x:row>
    <x:row r="229">
      <x:c r="A229" s="11" t="str">
        <x:v>Rush In</x:v>
      </x:c>
      <x:c r="B229" s="11" t="str">
        <x:v>Navessa Allen</x:v>
      </x:c>
      <x:c r="C229" s="11" t="n">
        <x:f>COUNTIFS(Rankings_Master!$D$2:$D$788,A229,Rankings_Master!$E$2:$E$788,B229,Rankings_Master!$J$2:$J$788,"Yes")</x:f>
        <x:v>1</x:v>
      </x:c>
      <x:c r="D229" s="11" t="n">
        <x:f>IF(C229=0,"",MINIFS(Rankings_Master!$B$2:$B$788,Rankings_Master!$D$2:$D$788,A229,Rankings_Master!$E$2:$E$788,B229,Rankings_Master!$J$2:$J$788,"Yes"))</x:f>
        <x:v>6</x:v>
      </x:c>
      <x:c r="E229" s="14" t="n">
        <x:f>IF(C229=0,"",SUMIFS(Rankings_Master!$B$2:$B$788,Rankings_Master!$D$2:$D$788,A229,Rankings_Master!$E$2:$E$788,B229,Rankings_Master!$J$2:$J$788,"Yes")/C229)</x:f>
        <x:v>6</x:v>
      </x:c>
      <x:c r="F229" s="11" t="n">
        <x:f>IF(C229=0,"",MINIFS(Rankings_Master!$H$2:$H$788,Rankings_Master!$D$2:$D$788,A229,Rankings_Master!$E$2:$E$788,B229,Rankings_Master!$J$2:$J$788,"Yes"))</x:f>
        <x:v>202601</x:v>
      </x:c>
      <x:c r="G229" s="11" t="n">
        <x:f>IF(C229=0,"",MAXIFS(Rankings_Master!$H$2:$H$788,Rankings_Master!$D$2:$D$788,A229,Rankings_Master!$E$2:$E$788,B229,Rankings_Master!$J$2:$J$788,"Yes"))</x:f>
        <x:v>202601</x:v>
      </x:c>
      <x:c r="H229" s="11" t="str">
        <x:f>IF(C229=0,"Partial only",IF(C229&gt;=2,"Yes","No"))</x:f>
        <x:v>No</x:v>
      </x:c>
      <x:c r="I229" s="11" t="n">
        <x:f>IF(C229=0,"",INT(G229/100)-INT(F229/100)+1)</x:f>
        <x:v>1</x:v>
      </x:c>
      <x:c r="J229" s="11" t="str">
        <x:v>Dark Romance / RomCom</x:v>
      </x:c>
      <x:c r="K229" s="11" t="str">
        <x:v>everlove / Piper</x:v>
      </x:c>
      <x:c r="L229" s="11" t="str">
        <x:v>2026-01-02</x:v>
      </x:c>
      <x:c r="M229" s="11" t="str">
        <x:v>978-3-492-06732-4</x:v>
      </x:c>
      <x:c r="N229" s="11" t="str">
        <x:v>Yes</x:v>
      </x:c>
      <x:c r="O229" s="11" t="n">
        <x:v>2</x:v>
      </x:c>
      <x:c r="P229" s="11" t="str">
        <x:v>No</x:v>
      </x:c>
      <x:c r="Q229" s="11" t="str">
        <x:v>Full verified</x:v>
      </x:c>
    </x:row>
    <x:row r="230">
      <x:c r="A230" s="11" t="str">
        <x:v>When Shadows Darken the Sun</x:v>
      </x:c>
      <x:c r="B230" s="11" t="str">
        <x:v>Nina Schilling</x:v>
      </x:c>
      <x:c r="C230" s="11" t="n">
        <x:f>COUNTIFS(Rankings_Master!$D$2:$D$788,A230,Rankings_Master!$E$2:$E$788,B230,Rankings_Master!$J$2:$J$788,"Yes")</x:f>
        <x:v>2</x:v>
      </x:c>
      <x:c r="D230" s="11" t="n">
        <x:f>IF(C230=0,"",MINIFS(Rankings_Master!$B$2:$B$788,Rankings_Master!$D$2:$D$788,A230,Rankings_Master!$E$2:$E$788,B230,Rankings_Master!$J$2:$J$788,"Yes"))</x:f>
        <x:v>3</x:v>
      </x:c>
      <x:c r="E230" s="14" t="n">
        <x:f>IF(C230=0,"",SUMIFS(Rankings_Master!$B$2:$B$788,Rankings_Master!$D$2:$D$788,A230,Rankings_Master!$E$2:$E$788,B230,Rankings_Master!$J$2:$J$788,"Yes")/C230)</x:f>
        <x:v>11.5</x:v>
      </x:c>
      <x:c r="F230" s="11" t="n">
        <x:f>IF(C230=0,"",MINIFS(Rankings_Master!$H$2:$H$788,Rankings_Master!$D$2:$D$788,A230,Rankings_Master!$E$2:$E$788,B230,Rankings_Master!$J$2:$J$788,"Yes"))</x:f>
        <x:v>202603</x:v>
      </x:c>
      <x:c r="G230" s="11" t="n">
        <x:f>IF(C230=0,"",MAXIFS(Rankings_Master!$H$2:$H$788,Rankings_Master!$D$2:$D$788,A230,Rankings_Master!$E$2:$E$788,B230,Rankings_Master!$J$2:$J$788,"Yes"))</x:f>
        <x:v>202604</x:v>
      </x:c>
      <x:c r="H230" s="11" t="str">
        <x:f>IF(C230=0,"Partial only",IF(C230&gt;=2,"Yes","No"))</x:f>
        <x:v>Yes</x:v>
      </x:c>
      <x:c r="I230" s="11" t="n">
        <x:f>IF(C230=0,"",INT(G230/100)-INT(F230/100)+1)</x:f>
        <x:v>1</x:v>
      </x:c>
      <x:c r="J230" s="11" t="str">
        <x:v>Fantasy / Romantasy</x:v>
      </x:c>
      <x:c r="K230" s="11" t="str">
        <x:v>LYX</x:v>
      </x:c>
      <x:c r="L230" s="11" t="str">
        <x:v>2026-03-17</x:v>
      </x:c>
      <x:c r="M230" s="11" t="str">
        <x:v>978-3-7363-2689-7</x:v>
      </x:c>
      <x:c r="N230" s="11" t="str">
        <x:v>Yes</x:v>
      </x:c>
      <x:c r="O230" s="11" t="n">
        <x:v>1</x:v>
      </x:c>
      <x:c r="P230" s="11" t="str">
        <x:v>No</x:v>
      </x:c>
      <x:c r="Q230" s="11" t="str">
        <x:v>Full verified</x:v>
      </x:c>
    </x:row>
    <x:row r="231">
      <x:c r="A231" s="11" t="str">
        <x:v>Tale of the Heart Queen</x:v>
      </x:c>
      <x:c r="B231" s="11" t="str">
        <x:v>Nisha J. Tuli</x:v>
      </x:c>
      <x:c r="C231" s="11" t="n">
        <x:f>COUNTIFS(Rankings_Master!$D$2:$D$788,A231,Rankings_Master!$E$2:$E$788,B231,Rankings_Master!$J$2:$J$788,"Yes")</x:f>
        <x:v>1</x:v>
      </x:c>
      <x:c r="D231" s="11" t="n">
        <x:f>IF(C231=0,"",MINIFS(Rankings_Master!$B$2:$B$788,Rankings_Master!$D$2:$D$788,A231,Rankings_Master!$E$2:$E$788,B231,Rankings_Master!$J$2:$J$788,"Yes"))</x:f>
        <x:v>14</x:v>
      </x:c>
      <x:c r="E231" s="14" t="n">
        <x:f>IF(C231=0,"",SUMIFS(Rankings_Master!$B$2:$B$788,Rankings_Master!$D$2:$D$788,A231,Rankings_Master!$E$2:$E$788,B231,Rankings_Master!$J$2:$J$788,"Yes")/C231)</x:f>
        <x:v>14</x:v>
      </x:c>
      <x:c r="F231" s="11" t="n">
        <x:f>IF(C231=0,"",MINIFS(Rankings_Master!$H$2:$H$788,Rankings_Master!$D$2:$D$788,A231,Rankings_Master!$E$2:$E$788,B231,Rankings_Master!$J$2:$J$788,"Yes"))</x:f>
        <x:v>202505</x:v>
      </x:c>
      <x:c r="G231" s="11" t="n">
        <x:f>IF(C231=0,"",MAXIFS(Rankings_Master!$H$2:$H$788,Rankings_Master!$D$2:$D$788,A231,Rankings_Master!$E$2:$E$788,B231,Rankings_Master!$J$2:$J$788,"Yes"))</x:f>
        <x:v>202505</x:v>
      </x:c>
      <x:c r="H231" s="11" t="str">
        <x:f>IF(C231=0,"Partial only",IF(C231&gt;=2,"Yes","No"))</x:f>
        <x:v>No</x:v>
      </x:c>
      <x:c r="I231" s="11" t="n">
        <x:f>IF(C231=0,"",INT(G231/100)-INT(F231/100)+1)</x:f>
        <x:v>1</x:v>
      </x:c>
      <x:c r="J231" s="11" t="str">
        <x:v>Fantasy / Romantasy</x:v>
      </x:c>
      <x:c r="K231" s="11" t="str">
        <x:v>Knaur</x:v>
      </x:c>
      <x:c r="L231" s="11" t="str">
        <x:v>2025-05-02</x:v>
      </x:c>
      <x:c r="M231" s="11" t="str">
        <x:v>978-3-426-44928-8</x:v>
      </x:c>
      <x:c r="N231" s="11" t="str">
        <x:v>Yes</x:v>
      </x:c>
      <x:c r="O231" s="11" t="n">
        <x:v>4</x:v>
      </x:c>
      <x:c r="P231" s="11" t="str">
        <x:v>No</x:v>
      </x:c>
      <x:c r="Q231" s="11" t="str">
        <x:v>Full verified</x:v>
      </x:c>
    </x:row>
    <x:row r="232">
      <x:c r="A232" s="11" t="str">
        <x:v>Trial of the Sun Queen</x:v>
      </x:c>
      <x:c r="B232" s="11" t="str">
        <x:v>Nisha J. Tuli</x:v>
      </x:c>
      <x:c r="C232" s="11" t="n">
        <x:f>COUNTIFS(Rankings_Master!$D$2:$D$788,A232,Rankings_Master!$E$2:$E$788,B232,Rankings_Master!$J$2:$J$788,"Yes")</x:f>
        <x:v>2</x:v>
      </x:c>
      <x:c r="D232" s="11" t="n">
        <x:f>IF(C232=0,"",MINIFS(Rankings_Master!$B$2:$B$788,Rankings_Master!$D$2:$D$788,A232,Rankings_Master!$E$2:$E$788,B232,Rankings_Master!$J$2:$J$788,"Yes"))</x:f>
        <x:v>15</x:v>
      </x:c>
      <x:c r="E232" s="14" t="n">
        <x:f>IF(C232=0,"",SUMIFS(Rankings_Master!$B$2:$B$788,Rankings_Master!$D$2:$D$788,A232,Rankings_Master!$E$2:$E$788,B232,Rankings_Master!$J$2:$J$788,"Yes")/C232)</x:f>
        <x:v>17.5</x:v>
      </x:c>
      <x:c r="F232" s="11" t="n">
        <x:f>IF(C232=0,"",MINIFS(Rankings_Master!$H$2:$H$788,Rankings_Master!$D$2:$D$788,A232,Rankings_Master!$E$2:$E$788,B232,Rankings_Master!$J$2:$J$788,"Yes"))</x:f>
        <x:v>202402</x:v>
      </x:c>
      <x:c r="G232" s="11" t="n">
        <x:f>IF(C232=0,"",MAXIFS(Rankings_Master!$H$2:$H$788,Rankings_Master!$D$2:$D$788,A232,Rankings_Master!$E$2:$E$788,B232,Rankings_Master!$J$2:$J$788,"Yes"))</x:f>
        <x:v>202403</x:v>
      </x:c>
      <x:c r="H232" s="11" t="str">
        <x:f>IF(C232=0,"Partial only",IF(C232&gt;=2,"Yes","No"))</x:f>
        <x:v>Yes</x:v>
      </x:c>
      <x:c r="I232" s="11" t="n">
        <x:f>IF(C232=0,"",INT(G232/100)-INT(F232/100)+1)</x:f>
        <x:v>1</x:v>
      </x:c>
      <x:c r="J232" s="11" t="str">
        <x:v>Fantasy / Romantasy</x:v>
      </x:c>
      <x:c r="K232" s="11" t="str">
        <x:v>Knaur</x:v>
      </x:c>
      <x:c r="L232" s="11" t="str">
        <x:v>2024-02-19</x:v>
      </x:c>
      <x:c r="M232" s="11" t="str">
        <x:v>978-3-426-44827-4</x:v>
      </x:c>
      <x:c r="N232" s="11" t="str">
        <x:v>Yes</x:v>
      </x:c>
      <x:c r="O232" s="11" t="n">
        <x:v>1</x:v>
      </x:c>
      <x:c r="P232" s="11" t="str">
        <x:v>No</x:v>
      </x:c>
      <x:c r="Q232" s="11" t="str">
        <x:v>Full verified</x:v>
      </x:c>
    </x:row>
    <x:row r="233">
      <x:c r="A233" s="11" t="str">
        <x:v>Abendlicht</x:v>
      </x:c>
      <x:c r="B233" s="11" t="str">
        <x:v>Nora Roberts</x:v>
      </x:c>
      <x:c r="C233" s="11" t="n">
        <x:f>COUNTIFS(Rankings_Master!$D$2:$D$788,A233,Rankings_Master!$E$2:$E$788,B233,Rankings_Master!$J$2:$J$788,"Yes")</x:f>
        <x:v>1</x:v>
      </x:c>
      <x:c r="D233" s="11" t="n">
        <x:f>IF(C233=0,"",MINIFS(Rankings_Master!$B$2:$B$788,Rankings_Master!$D$2:$D$788,A233,Rankings_Master!$E$2:$E$788,B233,Rankings_Master!$J$2:$J$788,"Yes"))</x:f>
        <x:v>15</x:v>
      </x:c>
      <x:c r="E233" s="14" t="n">
        <x:f>IF(C233=0,"",SUMIFS(Rankings_Master!$B$2:$B$788,Rankings_Master!$D$2:$D$788,A233,Rankings_Master!$E$2:$E$788,B233,Rankings_Master!$J$2:$J$788,"Yes")/C233)</x:f>
        <x:v>15</x:v>
      </x:c>
      <x:c r="F233" s="11" t="n">
        <x:f>IF(C233=0,"",MINIFS(Rankings_Master!$H$2:$H$788,Rankings_Master!$D$2:$D$788,A233,Rankings_Master!$E$2:$E$788,B233,Rankings_Master!$J$2:$J$788,"Yes"))</x:f>
        <x:v>202602</x:v>
      </x:c>
      <x:c r="G233" s="11" t="n">
        <x:f>IF(C233=0,"",MAXIFS(Rankings_Master!$H$2:$H$788,Rankings_Master!$D$2:$D$788,A233,Rankings_Master!$E$2:$E$788,B233,Rankings_Master!$J$2:$J$788,"Yes"))</x:f>
        <x:v>202602</x:v>
      </x:c>
      <x:c r="H233" s="11" t="str">
        <x:f>IF(C233=0,"Partial only",IF(C233&gt;=2,"Yes","No"))</x:f>
        <x:v>No</x:v>
      </x:c>
      <x:c r="I233" s="11" t="n">
        <x:f>IF(C233=0,"",INT(G233/100)-INT(F233/100)+1)</x:f>
        <x:v>1</x:v>
      </x:c>
      <x:c r="J233" s="11" t="str">
        <x:v>Contemporary / Romance</x:v>
      </x:c>
      <x:c r="K233" s="11" t="str">
        <x:v>Heyne</x:v>
      </x:c>
      <x:c r="L233" s="11" t="str">
        <x:v>2026</x:v>
      </x:c>
      <x:c r="M233" s="11" t="str">
        <x:v>978-3-453-42911-6</x:v>
      </x:c>
      <x:c r="N233" s="11" t="str">
        <x:v>Yes</x:v>
      </x:c>
      <x:c r="O233" s="11" t="n">
        <x:v>2</x:v>
      </x:c>
      <x:c r="P233" s="11" t="str">
        <x:v>No</x:v>
      </x:c>
      <x:c r="Q233" s="11" t="str">
        <x:v>Core verified</x:v>
      </x:c>
    </x:row>
    <x:row r="234">
      <x:c r="A234" s="11" t="str">
        <x:v>Birthday Girl</x:v>
      </x:c>
      <x:c r="B234" s="11" t="str">
        <x:v>Penelope Douglas</x:v>
      </x:c>
      <x:c r="C234" s="11" t="n">
        <x:f>COUNTIFS(Rankings_Master!$D$2:$D$788,A234,Rankings_Master!$E$2:$E$788,B234,Rankings_Master!$J$2:$J$788,"Yes")</x:f>
        <x:v>1</x:v>
      </x:c>
      <x:c r="D234" s="11" t="n">
        <x:f>IF(C234=0,"",MINIFS(Rankings_Master!$B$2:$B$788,Rankings_Master!$D$2:$D$788,A234,Rankings_Master!$E$2:$E$788,B234,Rankings_Master!$J$2:$J$788,"Yes"))</x:f>
        <x:v>20</x:v>
      </x:c>
      <x:c r="E234" s="14" t="n">
        <x:f>IF(C234=0,"",SUMIFS(Rankings_Master!$B$2:$B$788,Rankings_Master!$D$2:$D$788,A234,Rankings_Master!$E$2:$E$788,B234,Rankings_Master!$J$2:$J$788,"Yes")/C234)</x:f>
        <x:v>20</x:v>
      </x:c>
      <x:c r="F234" s="11" t="n">
        <x:f>IF(C234=0,"",MINIFS(Rankings_Master!$H$2:$H$788,Rankings_Master!$D$2:$D$788,A234,Rankings_Master!$E$2:$E$788,B234,Rankings_Master!$J$2:$J$788,"Yes"))</x:f>
        <x:v>202309</x:v>
      </x:c>
      <x:c r="G234" s="11" t="n">
        <x:f>IF(C234=0,"",MAXIFS(Rankings_Master!$H$2:$H$788,Rankings_Master!$D$2:$D$788,A234,Rankings_Master!$E$2:$E$788,B234,Rankings_Master!$J$2:$J$788,"Yes"))</x:f>
        <x:v>202309</x:v>
      </x:c>
      <x:c r="H234" s="11" t="str">
        <x:f>IF(C234=0,"Partial only",IF(C234&gt;=2,"Yes","No"))</x:f>
        <x:v>No</x:v>
      </x:c>
      <x:c r="I234" s="11" t="n">
        <x:f>IF(C234=0,"",INT(G234/100)-INT(F234/100)+1)</x:f>
        <x:v>1</x:v>
      </x:c>
      <x:c r="J234" s="11" t="str">
        <x:v>Romance / Contemporary</x:v>
      </x:c>
      <x:c r="K234" s="11" t="str">
        <x:v>everlove / Piper</x:v>
      </x:c>
      <x:c r="L234" s="11" t="str">
        <x:v>2023-08-31</x:v>
      </x:c>
      <x:c r="M234" s="11" t="str">
        <x:v>978-3-492-06413-2</x:v>
      </x:c>
      <x:c r="N234" s="11" t="str">
        <x:v>No</x:v>
      </x:c>
      <x:c r="O234" s="11"/>
      <x:c r="P234" s="11" t="str">
        <x:v>No</x:v>
      </x:c>
      <x:c r="Q234" s="11" t="str">
        <x:v>Full verified</x:v>
      </x:c>
    </x:row>
    <x:row r="235">
      <x:c r="A235" s="11" t="str">
        <x:v>Corrupt - Dunkle Versuchung</x:v>
      </x:c>
      <x:c r="B235" s="11" t="str">
        <x:v>Penelope Douglas</x:v>
      </x:c>
      <x:c r="C235" s="11" t="n">
        <x:f>COUNTIFS(Rankings_Master!$D$2:$D$788,A235,Rankings_Master!$E$2:$E$788,B235,Rankings_Master!$J$2:$J$788,"Yes")</x:f>
        <x:v>8</x:v>
      </x:c>
      <x:c r="D235" s="11" t="n">
        <x:f>IF(C235=0,"",MINIFS(Rankings_Master!$B$2:$B$788,Rankings_Master!$D$2:$D$788,A235,Rankings_Master!$E$2:$E$788,B235,Rankings_Master!$J$2:$J$788,"Yes"))</x:f>
        <x:v>7</x:v>
      </x:c>
      <x:c r="E235" s="14" t="n">
        <x:f>IF(C235=0,"",SUMIFS(Rankings_Master!$B$2:$B$788,Rankings_Master!$D$2:$D$788,A235,Rankings_Master!$E$2:$E$788,B235,Rankings_Master!$J$2:$J$788,"Yes")/C235)</x:f>
        <x:v>14.125</x:v>
      </x:c>
      <x:c r="F235" s="11" t="n">
        <x:f>IF(C235=0,"",MINIFS(Rankings_Master!$H$2:$H$788,Rankings_Master!$D$2:$D$788,A235,Rankings_Master!$E$2:$E$788,B235,Rankings_Master!$J$2:$J$788,"Yes"))</x:f>
        <x:v>202405</x:v>
      </x:c>
      <x:c r="G235" s="11" t="n">
        <x:f>IF(C235=0,"",MAXIFS(Rankings_Master!$H$2:$H$788,Rankings_Master!$D$2:$D$788,A235,Rankings_Master!$E$2:$E$788,B235,Rankings_Master!$J$2:$J$788,"Yes"))</x:f>
        <x:v>202501</x:v>
      </x:c>
      <x:c r="H235" s="11" t="str">
        <x:f>IF(C235=0,"Partial only",IF(C235&gt;=2,"Yes","No"))</x:f>
        <x:v>Yes</x:v>
      </x:c>
      <x:c r="I235" s="11" t="n">
        <x:f>IF(C235=0,"",INT(G235/100)-INT(F235/100)+1)</x:f>
        <x:v>2</x:v>
      </x:c>
      <x:c r="J235" s="11" t="str">
        <x:v>Dark Romance</x:v>
      </x:c>
      <x:c r="K235" s="11" t="str">
        <x:v>everlove / Piper</x:v>
      </x:c>
      <x:c r="L235" s="11" t="str">
        <x:v>2024-05-31</x:v>
      </x:c>
      <x:c r="M235" s="11" t="str">
        <x:v>978-3-492-06531-3</x:v>
      </x:c>
      <x:c r="N235" s="11" t="str">
        <x:v>Yes</x:v>
      </x:c>
      <x:c r="O235" s="11" t="n">
        <x:v>1</x:v>
      </x:c>
      <x:c r="P235" s="11" t="str">
        <x:v>No</x:v>
      </x:c>
      <x:c r="Q235" s="11" t="str">
        <x:v>Full verified</x:v>
      </x:c>
    </x:row>
    <x:row r="236">
      <x:c r="A236" s="11" t="str">
        <x:v>Credence - Sie ist tabu, doch Liebe kennt keine Regeln</x:v>
      </x:c>
      <x:c r="B236" s="11" t="str">
        <x:v>Penelope Douglas</x:v>
      </x:c>
      <x:c r="C236" s="11" t="n">
        <x:f>COUNTIFS(Rankings_Master!$D$2:$D$788,A236,Rankings_Master!$E$2:$E$788,B236,Rankings_Master!$J$2:$J$788,"Yes")</x:f>
        <x:v>3</x:v>
      </x:c>
      <x:c r="D236" s="11" t="n">
        <x:f>IF(C236=0,"",MINIFS(Rankings_Master!$B$2:$B$788,Rankings_Master!$D$2:$D$788,A236,Rankings_Master!$E$2:$E$788,B236,Rankings_Master!$J$2:$J$788,"Yes"))</x:f>
        <x:v>4</x:v>
      </x:c>
      <x:c r="E236" s="14" t="n">
        <x:f>IF(C236=0,"",SUMIFS(Rankings_Master!$B$2:$B$788,Rankings_Master!$D$2:$D$788,A236,Rankings_Master!$E$2:$E$788,B236,Rankings_Master!$J$2:$J$788,"Yes")/C236)</x:f>
        <x:v>11</x:v>
      </x:c>
      <x:c r="F236" s="11" t="n">
        <x:f>IF(C236=0,"",MINIFS(Rankings_Master!$H$2:$H$788,Rankings_Master!$D$2:$D$788,A236,Rankings_Master!$E$2:$E$788,B236,Rankings_Master!$J$2:$J$788,"Yes"))</x:f>
        <x:v>202501</x:v>
      </x:c>
      <x:c r="G236" s="11" t="n">
        <x:f>IF(C236=0,"",MAXIFS(Rankings_Master!$H$2:$H$788,Rankings_Master!$D$2:$D$788,A236,Rankings_Master!$E$2:$E$788,B236,Rankings_Master!$J$2:$J$788,"Yes"))</x:f>
        <x:v>202503</x:v>
      </x:c>
      <x:c r="H236" s="11" t="str">
        <x:f>IF(C236=0,"Partial only",IF(C236&gt;=2,"Yes","No"))</x:f>
        <x:v>Yes</x:v>
      </x:c>
      <x:c r="I236" s="11" t="n">
        <x:f>IF(C236=0,"",INT(G236/100)-INT(F236/100)+1)</x:f>
        <x:v>1</x:v>
      </x:c>
      <x:c r="J236" s="11" t="str">
        <x:v>Dark Romance</x:v>
      </x:c>
      <x:c r="K236" s="11" t="str">
        <x:v>everlove / Piper</x:v>
      </x:c>
      <x:c r="L236" s="11" t="str">
        <x:v>2025-01-30</x:v>
      </x:c>
      <x:c r="M236" s="11" t="str">
        <x:v>978-3-492-06524-5</x:v>
      </x:c>
      <x:c r="N236" s="11" t="str">
        <x:v>No</x:v>
      </x:c>
      <x:c r="O236" s="11"/>
      <x:c r="P236" s="11" t="str">
        <x:v>No</x:v>
      </x:c>
      <x:c r="Q236" s="11" t="str">
        <x:v>Full verified</x:v>
      </x:c>
    </x:row>
    <x:row r="237">
      <x:c r="A237" s="11" t="str">
        <x:v>Kill Switch - Gefährliche Leidenschaft</x:v>
      </x:c>
      <x:c r="B237" s="11" t="str">
        <x:v>Penelope Douglas</x:v>
      </x:c>
      <x:c r="C237" s="11" t="n">
        <x:f>COUNTIFS(Rankings_Master!$D$2:$D$788,A237,Rankings_Master!$E$2:$E$788,B237,Rankings_Master!$J$2:$J$788,"Yes")</x:f>
        <x:v>1</x:v>
      </x:c>
      <x:c r="D237" s="11" t="n">
        <x:f>IF(C237=0,"",MINIFS(Rankings_Master!$B$2:$B$788,Rankings_Master!$D$2:$D$788,A237,Rankings_Master!$E$2:$E$788,B237,Rankings_Master!$J$2:$J$788,"Yes"))</x:f>
        <x:v>10</x:v>
      </x:c>
      <x:c r="E237" s="14" t="n">
        <x:f>IF(C237=0,"",SUMIFS(Rankings_Master!$B$2:$B$788,Rankings_Master!$D$2:$D$788,A237,Rankings_Master!$E$2:$E$788,B237,Rankings_Master!$J$2:$J$788,"Yes")/C237)</x:f>
        <x:v>10</x:v>
      </x:c>
      <x:c r="F237" s="11" t="n">
        <x:f>IF(C237=0,"",MINIFS(Rankings_Master!$H$2:$H$788,Rankings_Master!$D$2:$D$788,A237,Rankings_Master!$E$2:$E$788,B237,Rankings_Master!$J$2:$J$788,"Yes"))</x:f>
        <x:v>202410</x:v>
      </x:c>
      <x:c r="G237" s="11" t="n">
        <x:f>IF(C237=0,"",MAXIFS(Rankings_Master!$H$2:$H$788,Rankings_Master!$D$2:$D$788,A237,Rankings_Master!$E$2:$E$788,B237,Rankings_Master!$J$2:$J$788,"Yes"))</x:f>
        <x:v>202410</x:v>
      </x:c>
      <x:c r="H237" s="11" t="str">
        <x:f>IF(C237=0,"Partial only",IF(C237&gt;=2,"Yes","No"))</x:f>
        <x:v>No</x:v>
      </x:c>
      <x:c r="I237" s="11" t="n">
        <x:f>IF(C237=0,"",INT(G237/100)-INT(F237/100)+1)</x:f>
        <x:v>1</x:v>
      </x:c>
      <x:c r="J237" s="11" t="str">
        <x:v>Dark Romance</x:v>
      </x:c>
      <x:c r="K237" s="11" t="str">
        <x:v>everlove / Piper</x:v>
      </x:c>
      <x:c r="L237" s="11" t="str">
        <x:v>2024-10-24</x:v>
      </x:c>
      <x:c r="M237" s="11" t="str">
        <x:v>978-3-492-06533-7</x:v>
      </x:c>
      <x:c r="N237" s="11" t="str">
        <x:v>Yes</x:v>
      </x:c>
      <x:c r="O237" s="11" t="n">
        <x:v>3</x:v>
      </x:c>
      <x:c r="P237" s="11" t="str">
        <x:v>No</x:v>
      </x:c>
      <x:c r="Q237" s="11" t="str">
        <x:v>Full verified</x:v>
      </x:c>
    </x:row>
    <x:row r="238">
      <x:c r="A238" s="11" t="str">
        <x:v>Nightfall - Geheime Begierde</x:v>
      </x:c>
      <x:c r="B238" s="11" t="str">
        <x:v>Penelope Douglas</x:v>
      </x:c>
      <x:c r="C238" s="11" t="n">
        <x:f>COUNTIFS(Rankings_Master!$D$2:$D$788,A238,Rankings_Master!$E$2:$E$788,B238,Rankings_Master!$J$2:$J$788,"Yes")</x:f>
        <x:v>1</x:v>
      </x:c>
      <x:c r="D238" s="11" t="n">
        <x:f>IF(C238=0,"",MINIFS(Rankings_Master!$B$2:$B$788,Rankings_Master!$D$2:$D$788,A238,Rankings_Master!$E$2:$E$788,B238,Rankings_Master!$J$2:$J$788,"Yes"))</x:f>
        <x:v>17</x:v>
      </x:c>
      <x:c r="E238" s="14" t="n">
        <x:f>IF(C238=0,"",SUMIFS(Rankings_Master!$B$2:$B$788,Rankings_Master!$D$2:$D$788,A238,Rankings_Master!$E$2:$E$788,B238,Rankings_Master!$J$2:$J$788,"Yes")/C238)</x:f>
        <x:v>17</x:v>
      </x:c>
      <x:c r="F238" s="11" t="n">
        <x:f>IF(C238=0,"",MINIFS(Rankings_Master!$H$2:$H$788,Rankings_Master!$D$2:$D$788,A238,Rankings_Master!$E$2:$E$788,B238,Rankings_Master!$J$2:$J$788,"Yes"))</x:f>
        <x:v>202504</x:v>
      </x:c>
      <x:c r="G238" s="11" t="n">
        <x:f>IF(C238=0,"",MAXIFS(Rankings_Master!$H$2:$H$788,Rankings_Master!$D$2:$D$788,A238,Rankings_Master!$E$2:$E$788,B238,Rankings_Master!$J$2:$J$788,"Yes"))</x:f>
        <x:v>202504</x:v>
      </x:c>
      <x:c r="H238" s="11" t="str">
        <x:f>IF(C238=0,"Partial only",IF(C238&gt;=2,"Yes","No"))</x:f>
        <x:v>No</x:v>
      </x:c>
      <x:c r="I238" s="11" t="n">
        <x:f>IF(C238=0,"",INT(G238/100)-INT(F238/100)+1)</x:f>
        <x:v>1</x:v>
      </x:c>
      <x:c r="J238" s="11" t="str">
        <x:v>Dark Romance</x:v>
      </x:c>
      <x:c r="K238" s="11" t="str">
        <x:v>everlove / Piper</x:v>
      </x:c>
      <x:c r="L238" s="11" t="str">
        <x:v>2025-04-04</x:v>
      </x:c>
      <x:c r="M238" s="11" t="str">
        <x:v>978-3-492-06664-8</x:v>
      </x:c>
      <x:c r="N238" s="11" t="str">
        <x:v>Yes</x:v>
      </x:c>
      <x:c r="O238" s="11" t="n">
        <x:v>4</x:v>
      </x:c>
      <x:c r="P238" s="11" t="str">
        <x:v>No</x:v>
      </x:c>
      <x:c r="Q238" s="11" t="str">
        <x:v>Full verified</x:v>
      </x:c>
    </x:row>
    <x:row r="239">
      <x:c r="A239" s="11" t="str">
        <x:v>Das Buch, von dem du dir wünschst, deine Eltern hätten es gelesen</x:v>
      </x:c>
      <x:c r="B239" s="11" t="str">
        <x:v>Philippa Perry</x:v>
      </x:c>
      <x:c r="C239" s="11" t="n">
        <x:f>COUNTIFS(Rankings_Master!$D$2:$D$788,A239,Rankings_Master!$E$2:$E$788,B239,Rankings_Master!$J$2:$J$788,"Yes")</x:f>
        <x:v>4</x:v>
      </x:c>
      <x:c r="D239" s="11" t="n">
        <x:f>IF(C239=0,"",MINIFS(Rankings_Master!$B$2:$B$788,Rankings_Master!$D$2:$D$788,A239,Rankings_Master!$E$2:$E$788,B239,Rankings_Master!$J$2:$J$788,"Yes"))</x:f>
        <x:v>13</x:v>
      </x:c>
      <x:c r="E239" s="14" t="n">
        <x:f>IF(C239=0,"",SUMIFS(Rankings_Master!$B$2:$B$788,Rankings_Master!$D$2:$D$788,A239,Rankings_Master!$E$2:$E$788,B239,Rankings_Master!$J$2:$J$788,"Yes")/C239)</x:f>
        <x:v>15.25</x:v>
      </x:c>
      <x:c r="F239" s="11" t="n">
        <x:f>IF(C239=0,"",MINIFS(Rankings_Master!$H$2:$H$788,Rankings_Master!$D$2:$D$788,A239,Rankings_Master!$E$2:$E$788,B239,Rankings_Master!$J$2:$J$788,"Yes"))</x:f>
        <x:v>202309</x:v>
      </x:c>
      <x:c r="G239" s="11" t="n">
        <x:f>IF(C239=0,"",MAXIFS(Rankings_Master!$H$2:$H$788,Rankings_Master!$D$2:$D$788,A239,Rankings_Master!$E$2:$E$788,B239,Rankings_Master!$J$2:$J$788,"Yes"))</x:f>
        <x:v>202312</x:v>
      </x:c>
      <x:c r="H239" s="11" t="str">
        <x:f>IF(C239=0,"Partial only",IF(C239&gt;=2,"Yes","No"))</x:f>
        <x:v>Yes</x:v>
      </x:c>
      <x:c r="I239" s="11" t="n">
        <x:f>IF(C239=0,"",INT(G239/100)-INT(F239/100)+1)</x:f>
        <x:v>1</x:v>
      </x:c>
      <x:c r="J239" s="11" t="str">
        <x:v>Self-Help / Psychology</x:v>
      </x:c>
      <x:c r="K239" s="11" t="str">
        <x:v>Ullstein</x:v>
      </x:c>
      <x:c r="L239" s="11" t="str">
        <x:v>2020-04-14</x:v>
      </x:c>
      <x:c r="M239" s="11" t="str">
        <x:v>978-3-550-20074-8</x:v>
      </x:c>
      <x:c r="N239" s="11" t="str">
        <x:v>No</x:v>
      </x:c>
      <x:c r="O239" s="11"/>
      <x:c r="P239" s="11" t="str">
        <x:v>No</x:v>
      </x:c>
      <x:c r="Q239" s="11" t="str">
        <x:v>Full verified</x:v>
      </x:c>
    </x:row>
    <x:row r="240">
      <x:c r="A240" s="11" t="str">
        <x:v>Heated Rivalry</x:v>
      </x:c>
      <x:c r="B240" s="11" t="str">
        <x:v>Rachel Reid</x:v>
      </x:c>
      <x:c r="C240" s="11" t="n">
        <x:f>COUNTIFS(Rankings_Master!$D$2:$D$788,A240,Rankings_Master!$E$2:$E$788,B240,Rankings_Master!$J$2:$J$788,"Yes")</x:f>
        <x:v>3</x:v>
      </x:c>
      <x:c r="D240" s="11" t="n">
        <x:f>IF(C240=0,"",MINIFS(Rankings_Master!$B$2:$B$788,Rankings_Master!$D$2:$D$788,A240,Rankings_Master!$E$2:$E$788,B240,Rankings_Master!$J$2:$J$788,"Yes"))</x:f>
        <x:v>1</x:v>
      </x:c>
      <x:c r="E240" s="14" t="n">
        <x:f>IF(C240=0,"",SUMIFS(Rankings_Master!$B$2:$B$788,Rankings_Master!$D$2:$D$788,A240,Rankings_Master!$E$2:$E$788,B240,Rankings_Master!$J$2:$J$788,"Yes")/C240)</x:f>
        <x:v>1.6666666666666667</x:v>
      </x:c>
      <x:c r="F240" s="11" t="n">
        <x:f>IF(C240=0,"",MINIFS(Rankings_Master!$H$2:$H$788,Rankings_Master!$D$2:$D$788,A240,Rankings_Master!$E$2:$E$788,B240,Rankings_Master!$J$2:$J$788,"Yes"))</x:f>
        <x:v>202602</x:v>
      </x:c>
      <x:c r="G240" s="11" t="n">
        <x:f>IF(C240=0,"",MAXIFS(Rankings_Master!$H$2:$H$788,Rankings_Master!$D$2:$D$788,A240,Rankings_Master!$E$2:$E$788,B240,Rankings_Master!$J$2:$J$788,"Yes"))</x:f>
        <x:v>202604</x:v>
      </x:c>
      <x:c r="H240" s="11" t="str">
        <x:f>IF(C240=0,"Partial only",IF(C240&gt;=2,"Yes","No"))</x:f>
        <x:v>Yes</x:v>
      </x:c>
      <x:c r="I240" s="11" t="n">
        <x:f>IF(C240=0,"",INT(G240/100)-INT(F240/100)+1)</x:f>
        <x:v>1</x:v>
      </x:c>
      <x:c r="J240" s="11" t="str">
        <x:v>LGBTQ+ / Sports Romance</x:v>
      </x:c>
      <x:c r="K240" s="11" t="str">
        <x:v>adrian &amp; wimmelbuchverlag</x:v>
      </x:c>
      <x:c r="L240" s="11" t="str">
        <x:v>2026-03-20</x:v>
      </x:c>
      <x:c r="M240" s="11" t="str">
        <x:v>978-3-98585-199-7</x:v>
      </x:c>
      <x:c r="N240" s="11" t="str">
        <x:v>Yes</x:v>
      </x:c>
      <x:c r="O240" s="11" t="n">
        <x:v>2</x:v>
      </x:c>
      <x:c r="P240" s="11" t="str">
        <x:v>No</x:v>
      </x:c>
      <x:c r="Q240" s="11" t="str">
        <x:v>Edition ambiguous</x:v>
      </x:c>
    </x:row>
    <x:row r="241">
      <x:c r="A241" s="11" t="str">
        <x:v>The Long Game</x:v>
      </x:c>
      <x:c r="B241" s="11" t="str">
        <x:v>Rachel Reid</x:v>
      </x:c>
      <x:c r="C241" s="11" t="n">
        <x:f>COUNTIFS(Rankings_Master!$D$2:$D$788,A241,Rankings_Master!$E$2:$E$788,B241,Rankings_Master!$J$2:$J$788,"Yes")</x:f>
        <x:v>1</x:v>
      </x:c>
      <x:c r="D241" s="11" t="n">
        <x:f>IF(C241=0,"",MINIFS(Rankings_Master!$B$2:$B$788,Rankings_Master!$D$2:$D$788,A241,Rankings_Master!$E$2:$E$788,B241,Rankings_Master!$J$2:$J$788,"Yes"))</x:f>
        <x:v>5</x:v>
      </x:c>
      <x:c r="E241" s="14" t="n">
        <x:f>IF(C241=0,"",SUMIFS(Rankings_Master!$B$2:$B$788,Rankings_Master!$D$2:$D$788,A241,Rankings_Master!$E$2:$E$788,B241,Rankings_Master!$J$2:$J$788,"Yes")/C241)</x:f>
        <x:v>5</x:v>
      </x:c>
      <x:c r="F241" s="11" t="n">
        <x:f>IF(C241=0,"",MINIFS(Rankings_Master!$H$2:$H$788,Rankings_Master!$D$2:$D$788,A241,Rankings_Master!$E$2:$E$788,B241,Rankings_Master!$J$2:$J$788,"Yes"))</x:f>
        <x:v>202606</x:v>
      </x:c>
      <x:c r="G241" s="11" t="n">
        <x:f>IF(C241=0,"",MAXIFS(Rankings_Master!$H$2:$H$788,Rankings_Master!$D$2:$D$788,A241,Rankings_Master!$E$2:$E$788,B241,Rankings_Master!$J$2:$J$788,"Yes"))</x:f>
        <x:v>202606</x:v>
      </x:c>
      <x:c r="H241" s="11" t="str">
        <x:f>IF(C241=0,"Partial only",IF(C241&gt;=2,"Yes","No"))</x:f>
        <x:v>No</x:v>
      </x:c>
      <x:c r="I241" s="11" t="n">
        <x:f>IF(C241=0,"",INT(G241/100)-INT(F241/100)+1)</x:f>
        <x:v>1</x:v>
      </x:c>
      <x:c r="J241" s="11" t="str">
        <x:v>LGBTQ+ / Sports Romance</x:v>
      </x:c>
      <x:c r="K241" s="11" t="str">
        <x:v>adrian &amp; wimmelbuchverlag</x:v>
      </x:c>
      <x:c r="L241" s="11" t="str">
        <x:v>2026-05-29</x:v>
      </x:c>
      <x:c r="M241" s="11" t="str">
        <x:v>978-3-98585-405-9</x:v>
      </x:c>
      <x:c r="N241" s="11" t="str">
        <x:v>Yes</x:v>
      </x:c>
      <x:c r="O241" s="11" t="n">
        <x:v>6</x:v>
      </x:c>
      <x:c r="P241" s="11" t="str">
        <x:v>No</x:v>
      </x:c>
      <x:c r="Q241" s="11" t="str">
        <x:v>Full verified</x:v>
      </x:c>
    </x:row>
    <x:row r="242">
      <x:c r="A242" s="11" t="str">
        <x:v>The Darkest Gold - Die Rebellin</x:v>
      </x:c>
      <x:c r="B242" s="11" t="str">
        <x:v>Raven Kennedy</x:v>
      </x:c>
      <x:c r="C242" s="11" t="n">
        <x:f>COUNTIFS(Rankings_Master!$D$2:$D$788,A242,Rankings_Master!$E$2:$E$788,B242,Rankings_Master!$J$2:$J$788,"Yes")</x:f>
        <x:v>1</x:v>
      </x:c>
      <x:c r="D242" s="11" t="n">
        <x:f>IF(C242=0,"",MINIFS(Rankings_Master!$B$2:$B$788,Rankings_Master!$D$2:$D$788,A242,Rankings_Master!$E$2:$E$788,B242,Rankings_Master!$J$2:$J$788,"Yes"))</x:f>
        <x:v>15</x:v>
      </x:c>
      <x:c r="E242" s="14" t="n">
        <x:f>IF(C242=0,"",SUMIFS(Rankings_Master!$B$2:$B$788,Rankings_Master!$D$2:$D$788,A242,Rankings_Master!$E$2:$E$788,B242,Rankings_Master!$J$2:$J$788,"Yes")/C242)</x:f>
        <x:v>15</x:v>
      </x:c>
      <x:c r="F242" s="11" t="n">
        <x:f>IF(C242=0,"",MINIFS(Rankings_Master!$H$2:$H$788,Rankings_Master!$D$2:$D$788,A242,Rankings_Master!$E$2:$E$788,B242,Rankings_Master!$J$2:$J$788,"Yes"))</x:f>
        <x:v>202404</x:v>
      </x:c>
      <x:c r="G242" s="11" t="n">
        <x:f>IF(C242=0,"",MAXIFS(Rankings_Master!$H$2:$H$788,Rankings_Master!$D$2:$D$788,A242,Rankings_Master!$E$2:$E$788,B242,Rankings_Master!$J$2:$J$788,"Yes"))</x:f>
        <x:v>202404</x:v>
      </x:c>
      <x:c r="H242" s="11" t="str">
        <x:f>IF(C242=0,"Partial only",IF(C242&gt;=2,"Yes","No"))</x:f>
        <x:v>No</x:v>
      </x:c>
      <x:c r="I242" s="11" t="n">
        <x:f>IF(C242=0,"",INT(G242/100)-INT(F242/100)+1)</x:f>
        <x:v>1</x:v>
      </x:c>
      <x:c r="J242" s="11" t="str">
        <x:v>Fantasy / Romantasy</x:v>
      </x:c>
      <x:c r="K242" s="11" t="str">
        <x:v>KYSS / Rowohlt</x:v>
      </x:c>
      <x:c r="L242" s="11" t="str">
        <x:v>2024-04-16</x:v>
      </x:c>
      <x:c r="M242" s="11" t="str">
        <x:v>978-3-499-01154-2</x:v>
      </x:c>
      <x:c r="N242" s="11" t="str">
        <x:v>Yes</x:v>
      </x:c>
      <x:c r="O242" s="11" t="n">
        <x:v>5</x:v>
      </x:c>
      <x:c r="P242" s="11" t="str">
        <x:v>No</x:v>
      </x:c>
      <x:c r="Q242" s="11" t="str">
        <x:v>Full verified</x:v>
      </x:c>
    </x:row>
    <x:row r="243">
      <x:c r="A243" s="11" t="str">
        <x:v>Divine Rivals</x:v>
      </x:c>
      <x:c r="B243" s="11" t="str">
        <x:v>Rebecca Ross</x:v>
      </x:c>
      <x:c r="C243" s="11" t="n">
        <x:f>COUNTIFS(Rankings_Master!$D$2:$D$788,A243,Rankings_Master!$E$2:$E$788,B243,Rankings_Master!$J$2:$J$788,"Yes")</x:f>
        <x:v>1</x:v>
      </x:c>
      <x:c r="D243" s="11" t="n">
        <x:f>IF(C243=0,"",MINIFS(Rankings_Master!$B$2:$B$788,Rankings_Master!$D$2:$D$788,A243,Rankings_Master!$E$2:$E$788,B243,Rankings_Master!$J$2:$J$788,"Yes"))</x:f>
        <x:v>12</x:v>
      </x:c>
      <x:c r="E243" s="14" t="n">
        <x:f>IF(C243=0,"",SUMIFS(Rankings_Master!$B$2:$B$788,Rankings_Master!$D$2:$D$788,A243,Rankings_Master!$E$2:$E$788,B243,Rankings_Master!$J$2:$J$788,"Yes")/C243)</x:f>
        <x:v>12</x:v>
      </x:c>
      <x:c r="F243" s="11" t="n">
        <x:f>IF(C243=0,"",MINIFS(Rankings_Master!$H$2:$H$788,Rankings_Master!$D$2:$D$788,A243,Rankings_Master!$E$2:$E$788,B243,Rankings_Master!$J$2:$J$788,"Yes"))</x:f>
        <x:v>202404</x:v>
      </x:c>
      <x:c r="G243" s="11" t="n">
        <x:f>IF(C243=0,"",MAXIFS(Rankings_Master!$H$2:$H$788,Rankings_Master!$D$2:$D$788,A243,Rankings_Master!$E$2:$E$788,B243,Rankings_Master!$J$2:$J$788,"Yes"))</x:f>
        <x:v>202404</x:v>
      </x:c>
      <x:c r="H243" s="11" t="str">
        <x:f>IF(C243=0,"Partial only",IF(C243&gt;=2,"Yes","No"))</x:f>
        <x:v>No</x:v>
      </x:c>
      <x:c r="I243" s="11" t="n">
        <x:f>IF(C243=0,"",INT(G243/100)-INT(F243/100)+1)</x:f>
        <x:v>1</x:v>
      </x:c>
      <x:c r="J243" s="11" t="str">
        <x:v>Fantasy / Romantasy</x:v>
      </x:c>
      <x:c r="K243" s="11" t="str">
        <x:v>LYX</x:v>
      </x:c>
      <x:c r="L243" s="11" t="str">
        <x:v>2024-03-19</x:v>
      </x:c>
      <x:c r="M243" s="11" t="str">
        <x:v>978-3-7363-2292-9</x:v>
      </x:c>
      <x:c r="N243" s="11" t="str">
        <x:v>Yes</x:v>
      </x:c>
      <x:c r="O243" s="11" t="n">
        <x:v>1</x:v>
      </x:c>
      <x:c r="P243" s="11" t="str">
        <x:v>No</x:v>
      </x:c>
      <x:c r="Q243" s="11" t="str">
        <x:v>Full verified</x:v>
      </x:c>
    </x:row>
    <x:row r="244">
      <x:c r="A244" s="11" t="str">
        <x:v>Alles, was ich geben kann - The Last Letter</x:v>
      </x:c>
      <x:c r="B244" s="11" t="str">
        <x:v>Rebecca Yarros</x:v>
      </x:c>
      <x:c r="C244" s="11" t="n">
        <x:f>COUNTIFS(Rankings_Master!$D$2:$D$788,A244,Rankings_Master!$E$2:$E$788,B244,Rankings_Master!$J$2:$J$788,"Yes")</x:f>
        <x:v>1</x:v>
      </x:c>
      <x:c r="D244" s="11" t="n">
        <x:f>IF(C244=0,"",MINIFS(Rankings_Master!$B$2:$B$788,Rankings_Master!$D$2:$D$788,A244,Rankings_Master!$E$2:$E$788,B244,Rankings_Master!$J$2:$J$788,"Yes"))</x:f>
        <x:v>18</x:v>
      </x:c>
      <x:c r="E244" s="14" t="n">
        <x:f>IF(C244=0,"",SUMIFS(Rankings_Master!$B$2:$B$788,Rankings_Master!$D$2:$D$788,A244,Rankings_Master!$E$2:$E$788,B244,Rankings_Master!$J$2:$J$788,"Yes")/C244)</x:f>
        <x:v>18</x:v>
      </x:c>
      <x:c r="F244" s="11" t="n">
        <x:f>IF(C244=0,"",MINIFS(Rankings_Master!$H$2:$H$788,Rankings_Master!$D$2:$D$788,A244,Rankings_Master!$E$2:$E$788,B244,Rankings_Master!$J$2:$J$788,"Yes"))</x:f>
        <x:v>202409</x:v>
      </x:c>
      <x:c r="G244" s="11" t="n">
        <x:f>IF(C244=0,"",MAXIFS(Rankings_Master!$H$2:$H$788,Rankings_Master!$D$2:$D$788,A244,Rankings_Master!$E$2:$E$788,B244,Rankings_Master!$J$2:$J$788,"Yes"))</x:f>
        <x:v>202409</x:v>
      </x:c>
      <x:c r="H244" s="11" t="str">
        <x:f>IF(C244=0,"Partial only",IF(C244&gt;=2,"Yes","No"))</x:f>
        <x:v>No</x:v>
      </x:c>
      <x:c r="I244" s="11" t="n">
        <x:f>IF(C244=0,"",INT(G244/100)-INT(F244/100)+1)</x:f>
        <x:v>1</x:v>
      </x:c>
      <x:c r="J244" s="11" t="str">
        <x:v>Romance / Contemporary</x:v>
      </x:c>
      <x:c r="K244" s="11" t="str">
        <x:v>dtv</x:v>
      </x:c>
      <x:c r="L244" s="11" t="str">
        <x:v>2024-08-15</x:v>
      </x:c>
      <x:c r="M244" s="11" t="str">
        <x:v>978-3-423-28429-5</x:v>
      </x:c>
      <x:c r="N244" s="11" t="str">
        <x:v>No</x:v>
      </x:c>
      <x:c r="O244" s="11"/>
      <x:c r="P244" s="11" t="str">
        <x:v>No</x:v>
      </x:c>
      <x:c r="Q244" s="11" t="str">
        <x:v>Full verified</x:v>
      </x:c>
    </x:row>
    <x:row r="245">
      <x:c r="A245" s="11" t="str">
        <x:v>Fourth Wing - Flammengeküsst</x:v>
      </x:c>
      <x:c r="B245" s="11" t="str">
        <x:v>Rebecca Yarros</x:v>
      </x:c>
      <x:c r="C245" s="11" t="n">
        <x:f>COUNTIFS(Rankings_Master!$D$2:$D$788,A245,Rankings_Master!$E$2:$E$788,B245,Rankings_Master!$J$2:$J$788,"Yes")</x:f>
        <x:v>20</x:v>
      </x:c>
      <x:c r="D245" s="11" t="n">
        <x:f>IF(C245=0,"",MINIFS(Rankings_Master!$B$2:$B$788,Rankings_Master!$D$2:$D$788,A245,Rankings_Master!$E$2:$E$788,B245,Rankings_Master!$J$2:$J$788,"Yes"))</x:f>
        <x:v>1</x:v>
      </x:c>
      <x:c r="E245" s="14" t="n">
        <x:f>IF(C245=0,"",SUMIFS(Rankings_Master!$B$2:$B$788,Rankings_Master!$D$2:$D$788,A245,Rankings_Master!$E$2:$E$788,B245,Rankings_Master!$J$2:$J$788,"Yes")/C245)</x:f>
        <x:v>8.5</x:v>
      </x:c>
      <x:c r="F245" s="11" t="n">
        <x:f>IF(C245=0,"",MINIFS(Rankings_Master!$H$2:$H$788,Rankings_Master!$D$2:$D$788,A245,Rankings_Master!$E$2:$E$788,B245,Rankings_Master!$J$2:$J$788,"Yes"))</x:f>
        <x:v>202306</x:v>
      </x:c>
      <x:c r="G245" s="11" t="n">
        <x:f>IF(C245=0,"",MAXIFS(Rankings_Master!$H$2:$H$788,Rankings_Master!$D$2:$D$788,A245,Rankings_Master!$E$2:$E$788,B245,Rankings_Master!$J$2:$J$788,"Yes"))</x:f>
        <x:v>202508</x:v>
      </x:c>
      <x:c r="H245" s="11" t="str">
        <x:f>IF(C245=0,"Partial only",IF(C245&gt;=2,"Yes","No"))</x:f>
        <x:v>Yes</x:v>
      </x:c>
      <x:c r="I245" s="11" t="n">
        <x:f>IF(C245=0,"",INT(G245/100)-INT(F245/100)+1)</x:f>
        <x:v>3</x:v>
      </x:c>
      <x:c r="J245" s="11" t="str">
        <x:v>Fantasy / Romantasy</x:v>
      </x:c>
      <x:c r="K245" s="11" t="str">
        <x:v>dtv</x:v>
      </x:c>
      <x:c r="L245" s="11" t="str">
        <x:v>2023-06-15</x:v>
      </x:c>
      <x:c r="M245" s="11" t="str">
        <x:v>978-3-423-28340-3</x:v>
      </x:c>
      <x:c r="N245" s="11" t="str">
        <x:v>Yes</x:v>
      </x:c>
      <x:c r="O245" s="11" t="n">
        <x:v>1</x:v>
      </x:c>
      <x:c r="P245" s="11" t="str">
        <x:v>No</x:v>
      </x:c>
      <x:c r="Q245" s="11" t="str">
        <x:v>Full verified</x:v>
      </x:c>
    </x:row>
    <x:row r="246">
      <x:c r="A246" s="11" t="str">
        <x:v>Iron Flame - Flammengeküsst</x:v>
      </x:c>
      <x:c r="B246" s="11" t="str">
        <x:v>Rebecca Yarros</x:v>
      </x:c>
      <x:c r="C246" s="11" t="n">
        <x:f>COUNTIFS(Rankings_Master!$D$2:$D$788,A246,Rankings_Master!$E$2:$E$788,B246,Rankings_Master!$J$2:$J$788,"Yes")</x:f>
        <x:v>13</x:v>
      </x:c>
      <x:c r="D246" s="11" t="n">
        <x:f>IF(C246=0,"",MINIFS(Rankings_Master!$B$2:$B$788,Rankings_Master!$D$2:$D$788,A246,Rankings_Master!$E$2:$E$788,B246,Rankings_Master!$J$2:$J$788,"Yes"))</x:f>
        <x:v>4</x:v>
      </x:c>
      <x:c r="E246" s="14" t="n">
        <x:f>IF(C246=0,"",SUMIFS(Rankings_Master!$B$2:$B$788,Rankings_Master!$D$2:$D$788,A246,Rankings_Master!$E$2:$E$788,B246,Rankings_Master!$J$2:$J$788,"Yes")/C246)</x:f>
        <x:v>13.153846153846153</x:v>
      </x:c>
      <x:c r="F246" s="11" t="n">
        <x:f>IF(C246=0,"",MINIFS(Rankings_Master!$H$2:$H$788,Rankings_Master!$D$2:$D$788,A246,Rankings_Master!$E$2:$E$788,B246,Rankings_Master!$J$2:$J$788,"Yes"))</x:f>
        <x:v>202312</x:v>
      </x:c>
      <x:c r="G246" s="11" t="n">
        <x:f>IF(C246=0,"",MAXIFS(Rankings_Master!$H$2:$H$788,Rankings_Master!$D$2:$D$788,A246,Rankings_Master!$E$2:$E$788,B246,Rankings_Master!$J$2:$J$788,"Yes"))</x:f>
        <x:v>202504</x:v>
      </x:c>
      <x:c r="H246" s="11" t="str">
        <x:f>IF(C246=0,"Partial only",IF(C246&gt;=2,"Yes","No"))</x:f>
        <x:v>Yes</x:v>
      </x:c>
      <x:c r="I246" s="11" t="n">
        <x:f>IF(C246=0,"",INT(G246/100)-INT(F246/100)+1)</x:f>
        <x:v>3</x:v>
      </x:c>
      <x:c r="J246" s="11" t="str">
        <x:v>Fantasy / Romantasy</x:v>
      </x:c>
      <x:c r="K246" s="11" t="str">
        <x:v>dtv</x:v>
      </x:c>
      <x:c r="L246" s="11" t="str">
        <x:v>2023-12-01</x:v>
      </x:c>
      <x:c r="M246" s="11" t="str">
        <x:v>978-3-423-28393-9</x:v>
      </x:c>
      <x:c r="N246" s="11" t="str">
        <x:v>Yes</x:v>
      </x:c>
      <x:c r="O246" s="11" t="n">
        <x:v>2</x:v>
      </x:c>
      <x:c r="P246" s="11"/>
      <x:c r="Q246" s="11" t="str">
        <x:v>Full verified</x:v>
      </x:c>
    </x:row>
    <x:row r="247">
      <x:c r="A247" s="11" t="str">
        <x:v>Onyx Storm - Flammengeküsst</x:v>
      </x:c>
      <x:c r="B247" s="11" t="str">
        <x:v>Rebecca Yarros</x:v>
      </x:c>
      <x:c r="C247" s="11" t="n">
        <x:f>COUNTIFS(Rankings_Master!$D$2:$D$788,A247,Rankings_Master!$E$2:$E$788,B247,Rankings_Master!$J$2:$J$788,"Yes")</x:f>
        <x:v>5</x:v>
      </x:c>
      <x:c r="D247" s="11" t="n">
        <x:f>IF(C247=0,"",MINIFS(Rankings_Master!$B$2:$B$788,Rankings_Master!$D$2:$D$788,A247,Rankings_Master!$E$2:$E$788,B247,Rankings_Master!$J$2:$J$788,"Yes"))</x:f>
        <x:v>1</x:v>
      </x:c>
      <x:c r="E247" s="14" t="n">
        <x:f>IF(C247=0,"",SUMIFS(Rankings_Master!$B$2:$B$788,Rankings_Master!$D$2:$D$788,A247,Rankings_Master!$E$2:$E$788,B247,Rankings_Master!$J$2:$J$788,"Yes")/C247)</x:f>
        <x:v>3.2</x:v>
      </x:c>
      <x:c r="F247" s="11" t="n">
        <x:f>IF(C247=0,"",MINIFS(Rankings_Master!$H$2:$H$788,Rankings_Master!$D$2:$D$788,A247,Rankings_Master!$E$2:$E$788,B247,Rankings_Master!$J$2:$J$788,"Yes"))</x:f>
        <x:v>202501</x:v>
      </x:c>
      <x:c r="G247" s="11" t="n">
        <x:f>IF(C247=0,"",MAXIFS(Rankings_Master!$H$2:$H$788,Rankings_Master!$D$2:$D$788,A247,Rankings_Master!$E$2:$E$788,B247,Rankings_Master!$J$2:$J$788,"Yes"))</x:f>
        <x:v>202505</x:v>
      </x:c>
      <x:c r="H247" s="11" t="str">
        <x:f>IF(C247=0,"Partial only",IF(C247&gt;=2,"Yes","No"))</x:f>
        <x:v>Yes</x:v>
      </x:c>
      <x:c r="I247" s="11" t="n">
        <x:f>IF(C247=0,"",INT(G247/100)-INT(F247/100)+1)</x:f>
        <x:v>1</x:v>
      </x:c>
      <x:c r="J247" s="11" t="str">
        <x:v>Fantasy / Romantasy</x:v>
      </x:c>
      <x:c r="K247" s="11" t="str">
        <x:v>dtv</x:v>
      </x:c>
      <x:c r="L247" s="11" t="str">
        <x:v>2025-01-21</x:v>
      </x:c>
      <x:c r="M247" s="11" t="str">
        <x:v>978-3-423-28450-9</x:v>
      </x:c>
      <x:c r="N247" s="11" t="str">
        <x:v>Yes</x:v>
      </x:c>
      <x:c r="O247" s="11" t="n">
        <x:v>3</x:v>
      </x:c>
      <x:c r="P247" s="11" t="str">
        <x:v>No</x:v>
      </x:c>
      <x:c r="Q247" s="11" t="str">
        <x:v>Full verified</x:v>
      </x:c>
    </x:row>
    <x:row r="248">
      <x:c r="A248" s="11" t="str">
        <x:v>God of Fury - Verhängnisvolle Liebe</x:v>
      </x:c>
      <x:c r="B248" s="11" t="str">
        <x:v>Rina Kent</x:v>
      </x:c>
      <x:c r="C248" s="11" t="n">
        <x:f>COUNTIFS(Rankings_Master!$D$2:$D$788,A248,Rankings_Master!$E$2:$E$788,B248,Rankings_Master!$J$2:$J$788,"Yes")</x:f>
        <x:v>1</x:v>
      </x:c>
      <x:c r="D248" s="11" t="n">
        <x:f>IF(C248=0,"",MINIFS(Rankings_Master!$B$2:$B$788,Rankings_Master!$D$2:$D$788,A248,Rankings_Master!$E$2:$E$788,B248,Rankings_Master!$J$2:$J$788,"Yes"))</x:f>
        <x:v>8</x:v>
      </x:c>
      <x:c r="E248" s="14" t="n">
        <x:f>IF(C248=0,"",SUMIFS(Rankings_Master!$B$2:$B$788,Rankings_Master!$D$2:$D$788,A248,Rankings_Master!$E$2:$E$788,B248,Rankings_Master!$J$2:$J$788,"Yes")/C248)</x:f>
        <x:v>8</x:v>
      </x:c>
      <x:c r="F248" s="11" t="n">
        <x:f>IF(C248=0,"",MINIFS(Rankings_Master!$H$2:$H$788,Rankings_Master!$D$2:$D$788,A248,Rankings_Master!$E$2:$E$788,B248,Rankings_Master!$J$2:$J$788,"Yes"))</x:f>
        <x:v>202510</x:v>
      </x:c>
      <x:c r="G248" s="11" t="n">
        <x:f>IF(C248=0,"",MAXIFS(Rankings_Master!$H$2:$H$788,Rankings_Master!$D$2:$D$788,A248,Rankings_Master!$E$2:$E$788,B248,Rankings_Master!$J$2:$J$788,"Yes"))</x:f>
        <x:v>202510</x:v>
      </x:c>
      <x:c r="H248" s="11" t="str">
        <x:f>IF(C248=0,"Partial only",IF(C248&gt;=2,"Yes","No"))</x:f>
        <x:v>No</x:v>
      </x:c>
      <x:c r="I248" s="11" t="n">
        <x:f>IF(C248=0,"",INT(G248/100)-INT(F248/100)+1)</x:f>
        <x:v>1</x:v>
      </x:c>
      <x:c r="J248" s="11" t="str">
        <x:v>Dark Romance</x:v>
      </x:c>
      <x:c r="K248" s="11" t="str">
        <x:v>VAJONA</x:v>
      </x:c>
      <x:c r="L248" s="11" t="str">
        <x:v>2025-10-08</x:v>
      </x:c>
      <x:c r="M248" s="11" t="str">
        <x:v>978-3-98718-423-9</x:v>
      </x:c>
      <x:c r="N248" s="11" t="str">
        <x:v>Yes</x:v>
      </x:c>
      <x:c r="O248" s="11" t="n">
        <x:v>5</x:v>
      </x:c>
      <x:c r="P248" s="11" t="str">
        <x:v>No</x:v>
      </x:c>
      <x:c r="Q248" s="11" t="str">
        <x:v>Full verified</x:v>
      </x:c>
    </x:row>
    <x:row r="249">
      <x:c r="A249" s="11" t="str">
        <x:v>God of Pain - Verbotene Liebe</x:v>
      </x:c>
      <x:c r="B249" s="11" t="str">
        <x:v>Rina Kent</x:v>
      </x:c>
      <x:c r="C249" s="11" t="n">
        <x:f>COUNTIFS(Rankings_Master!$D$2:$D$788,A249,Rankings_Master!$E$2:$E$788,B249,Rankings_Master!$J$2:$J$788,"Yes")</x:f>
        <x:v>1</x:v>
      </x:c>
      <x:c r="D249" s="11" t="n">
        <x:f>IF(C249=0,"",MINIFS(Rankings_Master!$B$2:$B$788,Rankings_Master!$D$2:$D$788,A249,Rankings_Master!$E$2:$E$788,B249,Rankings_Master!$J$2:$J$788,"Yes"))</x:f>
        <x:v>15</x:v>
      </x:c>
      <x:c r="E249" s="14" t="n">
        <x:f>IF(C249=0,"",SUMIFS(Rankings_Master!$B$2:$B$788,Rankings_Master!$D$2:$D$788,A249,Rankings_Master!$E$2:$E$788,B249,Rankings_Master!$J$2:$J$788,"Yes")/C249)</x:f>
        <x:v>15</x:v>
      </x:c>
      <x:c r="F249" s="11" t="n">
        <x:f>IF(C249=0,"",MINIFS(Rankings_Master!$H$2:$H$788,Rankings_Master!$D$2:$D$788,A249,Rankings_Master!$E$2:$E$788,B249,Rankings_Master!$J$2:$J$788,"Yes"))</x:f>
        <x:v>202412</x:v>
      </x:c>
      <x:c r="G249" s="11" t="n">
        <x:f>IF(C249=0,"",MAXIFS(Rankings_Master!$H$2:$H$788,Rankings_Master!$D$2:$D$788,A249,Rankings_Master!$E$2:$E$788,B249,Rankings_Master!$J$2:$J$788,"Yes"))</x:f>
        <x:v>202412</x:v>
      </x:c>
      <x:c r="H249" s="11" t="str">
        <x:f>IF(C249=0,"Partial only",IF(C249&gt;=2,"Yes","No"))</x:f>
        <x:v>No</x:v>
      </x:c>
      <x:c r="I249" s="11" t="n">
        <x:f>IF(C249=0,"",INT(G249/100)-INT(F249/100)+1)</x:f>
        <x:v>1</x:v>
      </x:c>
      <x:c r="J249" s="11" t="str">
        <x:v>Dark Romance</x:v>
      </x:c>
      <x:c r="K249" s="11" t="str">
        <x:v>VAJONA</x:v>
      </x:c>
      <x:c r="L249" s="11" t="str">
        <x:v>2024-11-27</x:v>
      </x:c>
      <x:c r="M249" s="11" t="str">
        <x:v>978-3-98718-367-6</x:v>
      </x:c>
      <x:c r="N249" s="11" t="str">
        <x:v>Yes</x:v>
      </x:c>
      <x:c r="O249" s="11" t="n">
        <x:v>2</x:v>
      </x:c>
      <x:c r="P249" s="11" t="str">
        <x:v>No</x:v>
      </x:c>
      <x:c r="Q249" s="11" t="str">
        <x:v>Full verified</x:v>
      </x:c>
    </x:row>
    <x:row r="250">
      <x:c r="A250" s="11" t="str">
        <x:v>God of Wrath - Besessene Liebe</x:v>
      </x:c>
      <x:c r="B250" s="11" t="str">
        <x:v>Rina Kent</x:v>
      </x:c>
      <x:c r="C250" s="11" t="n">
        <x:f>COUNTIFS(Rankings_Master!$D$2:$D$788,A250,Rankings_Master!$E$2:$E$788,B250,Rankings_Master!$J$2:$J$788,"Yes")</x:f>
        <x:v>1</x:v>
      </x:c>
      <x:c r="D250" s="11" t="n">
        <x:f>IF(C250=0,"",MINIFS(Rankings_Master!$B$2:$B$788,Rankings_Master!$D$2:$D$788,A250,Rankings_Master!$E$2:$E$788,B250,Rankings_Master!$J$2:$J$788,"Yes"))</x:f>
        <x:v>17</x:v>
      </x:c>
      <x:c r="E250" s="14" t="n">
        <x:f>IF(C250=0,"",SUMIFS(Rankings_Master!$B$2:$B$788,Rankings_Master!$D$2:$D$788,A250,Rankings_Master!$E$2:$E$788,B250,Rankings_Master!$J$2:$J$788,"Yes")/C250)</x:f>
        <x:v>17</x:v>
      </x:c>
      <x:c r="F250" s="11" t="n">
        <x:f>IF(C250=0,"",MINIFS(Rankings_Master!$H$2:$H$788,Rankings_Master!$D$2:$D$788,A250,Rankings_Master!$E$2:$E$788,B250,Rankings_Master!$J$2:$J$788,"Yes"))</x:f>
        <x:v>202501</x:v>
      </x:c>
      <x:c r="G250" s="11" t="n">
        <x:f>IF(C250=0,"",MAXIFS(Rankings_Master!$H$2:$H$788,Rankings_Master!$D$2:$D$788,A250,Rankings_Master!$E$2:$E$788,B250,Rankings_Master!$J$2:$J$788,"Yes"))</x:f>
        <x:v>202501</x:v>
      </x:c>
      <x:c r="H250" s="11" t="str">
        <x:f>IF(C250=0,"Partial only",IF(C250&gt;=2,"Yes","No"))</x:f>
        <x:v>No</x:v>
      </x:c>
      <x:c r="I250" s="11" t="n">
        <x:f>IF(C250=0,"",INT(G250/100)-INT(F250/100)+1)</x:f>
        <x:v>1</x:v>
      </x:c>
      <x:c r="J250" s="11" t="str">
        <x:v>Dark Romance</x:v>
      </x:c>
      <x:c r="K250" s="11" t="str">
        <x:v>VAJONA</x:v>
      </x:c>
      <x:c r="L250" s="11" t="str">
        <x:v>2024</x:v>
      </x:c>
      <x:c r="M250" s="11" t="str">
        <x:v>978-3-98718-365-2</x:v>
      </x:c>
      <x:c r="N250" s="11" t="str">
        <x:v>Yes</x:v>
      </x:c>
      <x:c r="O250" s="11" t="n">
        <x:v>3</x:v>
      </x:c>
      <x:c r="P250" s="11" t="str">
        <x:v>No</x:v>
      </x:c>
      <x:c r="Q250" s="11" t="str">
        <x:v>Core verified</x:v>
      </x:c>
    </x:row>
    <x:row r="251">
      <x:c r="A251" s="11" t="str">
        <x:v>Heart of My Monster (Monsters Trilogy)</x:v>
      </x:c>
      <x:c r="B251" s="11" t="str">
        <x:v>Rina Kent</x:v>
      </x:c>
      <x:c r="C251" s="11" t="n">
        <x:f>COUNTIFS(Rankings_Master!$D$2:$D$788,A251,Rankings_Master!$E$2:$E$788,B251,Rankings_Master!$J$2:$J$788,"Yes")</x:f>
        <x:v>1</x:v>
      </x:c>
      <x:c r="D251" s="11" t="n">
        <x:f>IF(C251=0,"",MINIFS(Rankings_Master!$B$2:$B$788,Rankings_Master!$D$2:$D$788,A251,Rankings_Master!$E$2:$E$788,B251,Rankings_Master!$J$2:$J$788,"Yes"))</x:f>
        <x:v>18</x:v>
      </x:c>
      <x:c r="E251" s="14" t="n">
        <x:f>IF(C251=0,"",SUMIFS(Rankings_Master!$B$2:$B$788,Rankings_Master!$D$2:$D$788,A251,Rankings_Master!$E$2:$E$788,B251,Rankings_Master!$J$2:$J$788,"Yes")/C251)</x:f>
        <x:v>18</x:v>
      </x:c>
      <x:c r="F251" s="11" t="n">
        <x:f>IF(C251=0,"",MINIFS(Rankings_Master!$H$2:$H$788,Rankings_Master!$D$2:$D$788,A251,Rankings_Master!$E$2:$E$788,B251,Rankings_Master!$J$2:$J$788,"Yes"))</x:f>
        <x:v>202604</x:v>
      </x:c>
      <x:c r="G251" s="11" t="n">
        <x:f>IF(C251=0,"",MAXIFS(Rankings_Master!$H$2:$H$788,Rankings_Master!$D$2:$D$788,A251,Rankings_Master!$E$2:$E$788,B251,Rankings_Master!$J$2:$J$788,"Yes"))</x:f>
        <x:v>202604</x:v>
      </x:c>
      <x:c r="H251" s="11" t="str">
        <x:f>IF(C251=0,"Partial only",IF(C251&gt;=2,"Yes","No"))</x:f>
        <x:v>No</x:v>
      </x:c>
      <x:c r="I251" s="11" t="n">
        <x:f>IF(C251=0,"",INT(G251/100)-INT(F251/100)+1)</x:f>
        <x:v>1</x:v>
      </x:c>
      <x:c r="J251" s="11" t="str">
        <x:v>Dark Romance</x:v>
      </x:c>
      <x:c r="K251" s="11" t="str">
        <x:v>VAJONA</x:v>
      </x:c>
      <x:c r="L251" s="11" t="str">
        <x:v>2026-04-15</x:v>
      </x:c>
      <x:c r="M251" s="11" t="str">
        <x:v>978-3-98718-558-8</x:v>
      </x:c>
      <x:c r="N251" s="11" t="str">
        <x:v>Yes</x:v>
      </x:c>
      <x:c r="O251" s="11" t="n">
        <x:v>3</x:v>
      </x:c>
      <x:c r="P251" s="11" t="str">
        <x:v>No</x:v>
      </x:c>
      <x:c r="Q251" s="11" t="str">
        <x:v>Full verified</x:v>
      </x:c>
    </x:row>
    <x:row r="252">
      <x:c r="A252" s="11" t="str">
        <x:v>Kiss The Villain</x:v>
      </x:c>
      <x:c r="B252" s="11" t="str">
        <x:v>Rina Kent</x:v>
      </x:c>
      <x:c r="C252" s="11" t="n">
        <x:f>COUNTIFS(Rankings_Master!$D$2:$D$788,A252,Rankings_Master!$E$2:$E$788,B252,Rankings_Master!$J$2:$J$788,"Yes")</x:f>
        <x:v>1</x:v>
      </x:c>
      <x:c r="D252" s="11" t="n">
        <x:f>IF(C252=0,"",MINIFS(Rankings_Master!$B$2:$B$788,Rankings_Master!$D$2:$D$788,A252,Rankings_Master!$E$2:$E$788,B252,Rankings_Master!$J$2:$J$788,"Yes"))</x:f>
        <x:v>3</x:v>
      </x:c>
      <x:c r="E252" s="14" t="n">
        <x:f>IF(C252=0,"",SUMIFS(Rankings_Master!$B$2:$B$788,Rankings_Master!$D$2:$D$788,A252,Rankings_Master!$E$2:$E$788,B252,Rankings_Master!$J$2:$J$788,"Yes")/C252)</x:f>
        <x:v>3</x:v>
      </x:c>
      <x:c r="F252" s="11" t="n">
        <x:f>IF(C252=0,"",MINIFS(Rankings_Master!$H$2:$H$788,Rankings_Master!$D$2:$D$788,A252,Rankings_Master!$E$2:$E$788,B252,Rankings_Master!$J$2:$J$788,"Yes"))</x:f>
        <x:v>202605</x:v>
      </x:c>
      <x:c r="G252" s="11" t="n">
        <x:f>IF(C252=0,"",MAXIFS(Rankings_Master!$H$2:$H$788,Rankings_Master!$D$2:$D$788,A252,Rankings_Master!$E$2:$E$788,B252,Rankings_Master!$J$2:$J$788,"Yes"))</x:f>
        <x:v>202605</x:v>
      </x:c>
      <x:c r="H252" s="11" t="str">
        <x:f>IF(C252=0,"Partial only",IF(C252&gt;=2,"Yes","No"))</x:f>
        <x:v>No</x:v>
      </x:c>
      <x:c r="I252" s="11" t="n">
        <x:f>IF(C252=0,"",INT(G252/100)-INT(F252/100)+1)</x:f>
        <x:v>1</x:v>
      </x:c>
      <x:c r="J252" s="11" t="str">
        <x:v>Dark Romance</x:v>
      </x:c>
      <x:c r="K252" s="11" t="str">
        <x:v>VAJONA</x:v>
      </x:c>
      <x:c r="L252" s="11" t="str">
        <x:v>2026-05-13</x:v>
      </x:c>
      <x:c r="M252" s="11" t="str">
        <x:v>978-3-98718-641-7</x:v>
      </x:c>
      <x:c r="N252" s="11" t="str">
        <x:v>Yes</x:v>
      </x:c>
      <x:c r="O252" s="11" t="n">
        <x:v>1</x:v>
      </x:c>
      <x:c r="P252" s="11" t="str">
        <x:v>No</x:v>
      </x:c>
      <x:c r="Q252" s="11" t="str">
        <x:v>Full verified</x:v>
      </x:c>
    </x:row>
    <x:row r="253">
      <x:c r="A253" s="11" t="str">
        <x:v>Power: Die 48 Gesetze der Macht</x:v>
      </x:c>
      <x:c r="B253" s="11" t="str">
        <x:v>Robert Greene</x:v>
      </x:c>
      <x:c r="C253" s="11" t="n">
        <x:f>COUNTIFS(Rankings_Master!$D$2:$D$788,A253,Rankings_Master!$E$2:$E$788,B253,Rankings_Master!$J$2:$J$788,"Yes")</x:f>
        <x:v>2</x:v>
      </x:c>
      <x:c r="D253" s="11" t="n">
        <x:f>IF(C253=0,"",MINIFS(Rankings_Master!$B$2:$B$788,Rankings_Master!$D$2:$D$788,A253,Rankings_Master!$E$2:$E$788,B253,Rankings_Master!$J$2:$J$788,"Yes"))</x:f>
        <x:v>20</x:v>
      </x:c>
      <x:c r="E253" s="14" t="n">
        <x:f>IF(C253=0,"",SUMIFS(Rankings_Master!$B$2:$B$788,Rankings_Master!$D$2:$D$788,A253,Rankings_Master!$E$2:$E$788,B253,Rankings_Master!$J$2:$J$788,"Yes")/C253)</x:f>
        <x:v>20</x:v>
      </x:c>
      <x:c r="F253" s="11" t="n">
        <x:f>IF(C253=0,"",MINIFS(Rankings_Master!$H$2:$H$788,Rankings_Master!$D$2:$D$788,A253,Rankings_Master!$E$2:$E$788,B253,Rankings_Master!$J$2:$J$788,"Yes"))</x:f>
        <x:v>202311</x:v>
      </x:c>
      <x:c r="G253" s="11" t="n">
        <x:f>IF(C253=0,"",MAXIFS(Rankings_Master!$H$2:$H$788,Rankings_Master!$D$2:$D$788,A253,Rankings_Master!$E$2:$E$788,B253,Rankings_Master!$J$2:$J$788,"Yes"))</x:f>
        <x:v>202401</x:v>
      </x:c>
      <x:c r="H253" s="11" t="str">
        <x:f>IF(C253=0,"Partial only",IF(C253&gt;=2,"Yes","No"))</x:f>
        <x:v>Yes</x:v>
      </x:c>
      <x:c r="I253" s="11" t="n">
        <x:f>IF(C253=0,"",INT(G253/100)-INT(F253/100)+1)</x:f>
        <x:v>2</x:v>
      </x:c>
      <x:c r="J253" s="11" t="str">
        <x:v>Self-Help / Strategy</x:v>
      </x:c>
      <x:c r="K253" s="11" t="str">
        <x:v>Carl Hanser</x:v>
      </x:c>
      <x:c r="L253" s="11" t="str">
        <x:v>2013-01-28</x:v>
      </x:c>
      <x:c r="M253" s="11" t="str">
        <x:v>978-3-446-43485-1</x:v>
      </x:c>
      <x:c r="N253" s="11" t="str">
        <x:v>No</x:v>
      </x:c>
      <x:c r="O253" s="11"/>
      <x:c r="P253" s="11" t="str">
        <x:v>No</x:v>
      </x:c>
      <x:c r="Q253" s="11" t="str">
        <x:v>Full verified</x:v>
      </x:c>
    </x:row>
    <x:row r="254">
      <x:c r="A254" s="11" t="str">
        <x:v>Love is like a Thunderbolt</x:v>
      </x:c>
      <x:c r="B254" s="11" t="str">
        <x:v>Ronja Madeleine</x:v>
      </x:c>
      <x:c r="C254" s="11" t="n">
        <x:f>COUNTIFS(Rankings_Master!$D$2:$D$788,A254,Rankings_Master!$E$2:$E$788,B254,Rankings_Master!$J$2:$J$788,"Yes")</x:f>
        <x:v>2</x:v>
      </x:c>
      <x:c r="D254" s="11" t="n">
        <x:f>IF(C254=0,"",MINIFS(Rankings_Master!$B$2:$B$788,Rankings_Master!$D$2:$D$788,A254,Rankings_Master!$E$2:$E$788,B254,Rankings_Master!$J$2:$J$788,"Yes"))</x:f>
        <x:v>8</x:v>
      </x:c>
      <x:c r="E254" s="14" t="n">
        <x:f>IF(C254=0,"",SUMIFS(Rankings_Master!$B$2:$B$788,Rankings_Master!$D$2:$D$788,A254,Rankings_Master!$E$2:$E$788,B254,Rankings_Master!$J$2:$J$788,"Yes")/C254)</x:f>
        <x:v>8.5</x:v>
      </x:c>
      <x:c r="F254" s="11" t="n">
        <x:f>IF(C254=0,"",MINIFS(Rankings_Master!$H$2:$H$788,Rankings_Master!$D$2:$D$788,A254,Rankings_Master!$E$2:$E$788,B254,Rankings_Master!$J$2:$J$788,"Yes"))</x:f>
        <x:v>202603</x:v>
      </x:c>
      <x:c r="G254" s="11" t="n">
        <x:f>IF(C254=0,"",MAXIFS(Rankings_Master!$H$2:$H$788,Rankings_Master!$D$2:$D$788,A254,Rankings_Master!$E$2:$E$788,B254,Rankings_Master!$J$2:$J$788,"Yes"))</x:f>
        <x:v>202604</x:v>
      </x:c>
      <x:c r="H254" s="11" t="str">
        <x:f>IF(C254=0,"Partial only",IF(C254&gt;=2,"Yes","No"))</x:f>
        <x:v>Yes</x:v>
      </x:c>
      <x:c r="I254" s="11" t="n">
        <x:f>IF(C254=0,"",INT(G254/100)-INT(F254/100)+1)</x:f>
        <x:v>1</x:v>
      </x:c>
      <x:c r="J254" s="11" t="str">
        <x:v>Romance / New Adult</x:v>
      </x:c>
      <x:c r="K254" s="11" t="str">
        <x:v>Heyne</x:v>
      </x:c>
      <x:c r="L254" s="11" t="str">
        <x:v>2026-02-01</x:v>
      </x:c>
      <x:c r="M254" s="11" t="str">
        <x:v>978-3-453-44352-5</x:v>
      </x:c>
      <x:c r="N254" s="11" t="str">
        <x:v>Yes</x:v>
      </x:c>
      <x:c r="O254" s="11" t="n">
        <x:v>1</x:v>
      </x:c>
      <x:c r="P254" s="11" t="str">
        <x:v>No</x:v>
      </x:c>
      <x:c r="Q254" s="11" t="str">
        <x:v>Core verified</x:v>
      </x:c>
    </x:row>
    <x:row r="255">
      <x:c r="A255" s="11" t="str">
        <x:v>Love is like a Tsunami</x:v>
      </x:c>
      <x:c r="B255" s="11" t="str">
        <x:v>Ronja Madeleine</x:v>
      </x:c>
      <x:c r="C255" s="11" t="n">
        <x:f>COUNTIFS(Rankings_Master!$D$2:$D$788,A255,Rankings_Master!$E$2:$E$788,B255,Rankings_Master!$J$2:$J$788,"Yes")</x:f>
        <x:v>1</x:v>
      </x:c>
      <x:c r="D255" s="11" t="n">
        <x:f>IF(C255=0,"",MINIFS(Rankings_Master!$B$2:$B$788,Rankings_Master!$D$2:$D$788,A255,Rankings_Master!$E$2:$E$788,B255,Rankings_Master!$J$2:$J$788,"Yes"))</x:f>
        <x:v>2</x:v>
      </x:c>
      <x:c r="E255" s="14" t="n">
        <x:f>IF(C255=0,"",SUMIFS(Rankings_Master!$B$2:$B$788,Rankings_Master!$D$2:$D$788,A255,Rankings_Master!$E$2:$E$788,B255,Rankings_Master!$J$2:$J$788,"Yes")/C255)</x:f>
        <x:v>2</x:v>
      </x:c>
      <x:c r="F255" s="11" t="n">
        <x:f>IF(C255=0,"",MINIFS(Rankings_Master!$H$2:$H$788,Rankings_Master!$D$2:$D$788,A255,Rankings_Master!$E$2:$E$788,B255,Rankings_Master!$J$2:$J$788,"Yes"))</x:f>
        <x:v>202607</x:v>
      </x:c>
      <x:c r="G255" s="11" t="n">
        <x:f>IF(C255=0,"",MAXIFS(Rankings_Master!$H$2:$H$788,Rankings_Master!$D$2:$D$788,A255,Rankings_Master!$E$2:$E$788,B255,Rankings_Master!$J$2:$J$788,"Yes"))</x:f>
        <x:v>202607</x:v>
      </x:c>
      <x:c r="H255" s="11" t="str">
        <x:f>IF(C255=0,"Partial only",IF(C255&gt;=2,"Yes","No"))</x:f>
        <x:v>No</x:v>
      </x:c>
      <x:c r="I255" s="11" t="n">
        <x:f>IF(C255=0,"",INT(G255/100)-INT(F255/100)+1)</x:f>
        <x:v>1</x:v>
      </x:c>
      <x:c r="J255" s="11" t="str">
        <x:v>Romance / New Adult</x:v>
      </x:c>
      <x:c r="K255" s="11" t="str">
        <x:v>Heyne</x:v>
      </x:c>
      <x:c r="L255" s="11" t="str">
        <x:v>2026-07-15</x:v>
      </x:c>
      <x:c r="M255" s="11" t="str">
        <x:v>978-3-453-44353-2</x:v>
      </x:c>
      <x:c r="N255" s="11" t="str">
        <x:v>Yes</x:v>
      </x:c>
      <x:c r="O255" s="11" t="n">
        <x:v>2</x:v>
      </x:c>
      <x:c r="P255" s="11" t="str">
        <x:v>No</x:v>
      </x:c>
      <x:c r="Q255" s="11" t="str">
        <x:v>Full verified</x:v>
      </x:c>
    </x:row>
    <x:row r="256">
      <x:c r="A256" s="11" t="str">
        <x:v>Du musst mich vergessen</x:v>
      </x:c>
      <x:c r="B256" s="11" t="str">
        <x:v>Rosie Walsh</x:v>
      </x:c>
      <x:c r="C256" s="11" t="n">
        <x:f>COUNTIFS(Rankings_Master!$D$2:$D$788,A256,Rankings_Master!$E$2:$E$788,B256,Rankings_Master!$J$2:$J$788,"Yes")</x:f>
        <x:v>2</x:v>
      </x:c>
      <x:c r="D256" s="11" t="n">
        <x:f>IF(C256=0,"",MINIFS(Rankings_Master!$B$2:$B$788,Rankings_Master!$D$2:$D$788,A256,Rankings_Master!$E$2:$E$788,B256,Rankings_Master!$J$2:$J$788,"Yes"))</x:f>
        <x:v>10</x:v>
      </x:c>
      <x:c r="E256" s="14" t="n">
        <x:f>IF(C256=0,"",SUMIFS(Rankings_Master!$B$2:$B$788,Rankings_Master!$D$2:$D$788,A256,Rankings_Master!$E$2:$E$788,B256,Rankings_Master!$J$2:$J$788,"Yes")/C256)</x:f>
        <x:v>13.5</x:v>
      </x:c>
      <x:c r="F256" s="11" t="n">
        <x:f>IF(C256=0,"",MINIFS(Rankings_Master!$H$2:$H$788,Rankings_Master!$D$2:$D$788,A256,Rankings_Master!$E$2:$E$788,B256,Rankings_Master!$J$2:$J$788,"Yes"))</x:f>
        <x:v>202605</x:v>
      </x:c>
      <x:c r="G256" s="11" t="n">
        <x:f>IF(C256=0,"",MAXIFS(Rankings_Master!$H$2:$H$788,Rankings_Master!$D$2:$D$788,A256,Rankings_Master!$E$2:$E$788,B256,Rankings_Master!$J$2:$J$788,"Yes"))</x:f>
        <x:v>202606</x:v>
      </x:c>
      <x:c r="H256" s="11" t="str">
        <x:f>IF(C256=0,"Partial only",IF(C256&gt;=2,"Yes","No"))</x:f>
        <x:v>Yes</x:v>
      </x:c>
      <x:c r="I256" s="11" t="n">
        <x:f>IF(C256=0,"",INT(G256/100)-INT(F256/100)+1)</x:f>
        <x:v>1</x:v>
      </x:c>
      <x:c r="J256" s="11" t="str">
        <x:v>Romance / Contemporary</x:v>
      </x:c>
      <x:c r="K256" s="11" t="str">
        <x:v>Goldmann</x:v>
      </x:c>
      <x:c r="L256" s="11" t="str">
        <x:v>2026-04-22</x:v>
      </x:c>
      <x:c r="M256" s="11" t="str">
        <x:v>978-3-442-49706-5</x:v>
      </x:c>
      <x:c r="N256" s="11" t="str">
        <x:v>No</x:v>
      </x:c>
      <x:c r="O256" s="11"/>
      <x:c r="P256" s="11" t="str">
        <x:v>No</x:v>
      </x:c>
      <x:c r="Q256" s="11" t="str">
        <x:v>Full verified</x:v>
      </x:c>
    </x:row>
    <x:row r="257">
      <x:c r="A257" s="11" t="str">
        <x:v>Vengeance (Academy of Dream Analysis 1)</x:v>
      </x:c>
      <x:c r="B257" s="11" t="str">
        <x:v>Ruby Braun</x:v>
      </x:c>
      <x:c r="C257" s="11" t="n">
        <x:f>COUNTIFS(Rankings_Master!$D$2:$D$788,A257,Rankings_Master!$E$2:$E$788,B257,Rankings_Master!$J$2:$J$788,"Yes")</x:f>
        <x:v>1</x:v>
      </x:c>
      <x:c r="D257" s="11" t="n">
        <x:f>IF(C257=0,"",MINIFS(Rankings_Master!$B$2:$B$788,Rankings_Master!$D$2:$D$788,A257,Rankings_Master!$E$2:$E$788,B257,Rankings_Master!$J$2:$J$788,"Yes"))</x:f>
        <x:v>7</x:v>
      </x:c>
      <x:c r="E257" s="14" t="n">
        <x:f>IF(C257=0,"",SUMIFS(Rankings_Master!$B$2:$B$788,Rankings_Master!$D$2:$D$788,A257,Rankings_Master!$E$2:$E$788,B257,Rankings_Master!$J$2:$J$788,"Yes")/C257)</x:f>
        <x:v>7</x:v>
      </x:c>
      <x:c r="F257" s="11" t="n">
        <x:f>IF(C257=0,"",MINIFS(Rankings_Master!$H$2:$H$788,Rankings_Master!$D$2:$D$788,A257,Rankings_Master!$E$2:$E$788,B257,Rankings_Master!$J$2:$J$788,"Yes"))</x:f>
        <x:v>202404</x:v>
      </x:c>
      <x:c r="G257" s="11" t="n">
        <x:f>IF(C257=0,"",MAXIFS(Rankings_Master!$H$2:$H$788,Rankings_Master!$D$2:$D$788,A257,Rankings_Master!$E$2:$E$788,B257,Rankings_Master!$J$2:$J$788,"Yes"))</x:f>
        <x:v>202404</x:v>
      </x:c>
      <x:c r="H257" s="11" t="str">
        <x:f>IF(C257=0,"Partial only",IF(C257&gt;=2,"Yes","No"))</x:f>
        <x:v>No</x:v>
      </x:c>
      <x:c r="I257" s="11" t="n">
        <x:f>IF(C257=0,"",INT(G257/100)-INT(F257/100)+1)</x:f>
        <x:v>1</x:v>
      </x:c>
      <x:c r="J257" s="11" t="str">
        <x:v>Fantasy / Romantasy</x:v>
      </x:c>
      <x:c r="K257" s="11" t="str">
        <x:v>Forever / Ullstein</x:v>
      </x:c>
      <x:c r="L257" s="11" t="str">
        <x:v>2024-03-27</x:v>
      </x:c>
      <x:c r="M257" s="11" t="str">
        <x:v>978-3-95818-796-2</x:v>
      </x:c>
      <x:c r="N257" s="11" t="str">
        <x:v>Yes</x:v>
      </x:c>
      <x:c r="O257" s="11" t="n">
        <x:v>1</x:v>
      </x:c>
      <x:c r="P257" s="11" t="str">
        <x:v>No</x:v>
      </x:c>
      <x:c r="Q257" s="11" t="str">
        <x:v>Full verified</x:v>
      </x:c>
    </x:row>
    <x:row r="258">
      <x:c r="A258" s="11" t="str">
        <x:v>Blood - Du sollst bereuen</x:v>
      </x:c>
      <x:c r="B258" s="11" t="str">
        <x:v>S.T. Abby</x:v>
      </x:c>
      <x:c r="C258" s="11" t="n">
        <x:f>COUNTIFS(Rankings_Master!$D$2:$D$788,A258,Rankings_Master!$E$2:$E$788,B258,Rankings_Master!$J$2:$J$788,"Yes")</x:f>
        <x:v>2</x:v>
      </x:c>
      <x:c r="D258" s="11" t="n">
        <x:f>IF(C258=0,"",MINIFS(Rankings_Master!$B$2:$B$788,Rankings_Master!$D$2:$D$788,A258,Rankings_Master!$E$2:$E$788,B258,Rankings_Master!$J$2:$J$788,"Yes"))</x:f>
        <x:v>7</x:v>
      </x:c>
      <x:c r="E258" s="14" t="n">
        <x:f>IF(C258=0,"",SUMIFS(Rankings_Master!$B$2:$B$788,Rankings_Master!$D$2:$D$788,A258,Rankings_Master!$E$2:$E$788,B258,Rankings_Master!$J$2:$J$788,"Yes")/C258)</x:f>
        <x:v>11</x:v>
      </x:c>
      <x:c r="F258" s="11" t="n">
        <x:f>IF(C258=0,"",MINIFS(Rankings_Master!$H$2:$H$788,Rankings_Master!$D$2:$D$788,A258,Rankings_Master!$E$2:$E$788,B258,Rankings_Master!$J$2:$J$788,"Yes"))</x:f>
        <x:v>202606</x:v>
      </x:c>
      <x:c r="G258" s="11" t="n">
        <x:f>IF(C258=0,"",MAXIFS(Rankings_Master!$H$2:$H$788,Rankings_Master!$D$2:$D$788,A258,Rankings_Master!$E$2:$E$788,B258,Rankings_Master!$J$2:$J$788,"Yes"))</x:f>
        <x:v>202607</x:v>
      </x:c>
      <x:c r="H258" s="11" t="str">
        <x:f>IF(C258=0,"Partial only",IF(C258&gt;=2,"Yes","No"))</x:f>
        <x:v>Yes</x:v>
      </x:c>
      <x:c r="I258" s="11" t="n">
        <x:f>IF(C258=0,"",INT(G258/100)-INT(F258/100)+1)</x:f>
        <x:v>1</x:v>
      </x:c>
      <x:c r="J258" s="11" t="str">
        <x:v>Thriller / Dark Romance</x:v>
      </x:c>
      <x:c r="K258" s="11" t="str">
        <x:v>Goldmann</x:v>
      </x:c>
      <x:c r="L258" s="11" t="str">
        <x:v>2026-06-24</x:v>
      </x:c>
      <x:c r="M258" s="11" t="str">
        <x:v>978-3-442-49801-7</x:v>
      </x:c>
      <x:c r="N258" s="11" t="str">
        <x:v>Yes</x:v>
      </x:c>
      <x:c r="O258" s="11" t="n">
        <x:v>2</x:v>
      </x:c>
      <x:c r="P258" s="11" t="str">
        <x:v>No</x:v>
      </x:c>
      <x:c r="Q258" s="11" t="str">
        <x:v>Full verified</x:v>
      </x:c>
    </x:row>
    <x:row r="259">
      <x:c r="A259" s="11" t="str">
        <x:v>Secret - Du sollst mich fürchten</x:v>
      </x:c>
      <x:c r="B259" s="11" t="str">
        <x:v>S.T. Abby</x:v>
      </x:c>
      <x:c r="C259" s="11" t="n">
        <x:f>COUNTIFS(Rankings_Master!$D$2:$D$788,A259,Rankings_Master!$E$2:$E$788,B259,Rankings_Master!$J$2:$J$788,"Yes")</x:f>
        <x:v>2</x:v>
      </x:c>
      <x:c r="D259" s="11" t="n">
        <x:f>IF(C259=0,"",MINIFS(Rankings_Master!$B$2:$B$788,Rankings_Master!$D$2:$D$788,A259,Rankings_Master!$E$2:$E$788,B259,Rankings_Master!$J$2:$J$788,"Yes"))</x:f>
        <x:v>6</x:v>
      </x:c>
      <x:c r="E259" s="14" t="n">
        <x:f>IF(C259=0,"",SUMIFS(Rankings_Master!$B$2:$B$788,Rankings_Master!$D$2:$D$788,A259,Rankings_Master!$E$2:$E$788,B259,Rankings_Master!$J$2:$J$788,"Yes")/C259)</x:f>
        <x:v>8</x:v>
      </x:c>
      <x:c r="F259" s="11" t="n">
        <x:f>IF(C259=0,"",MINIFS(Rankings_Master!$H$2:$H$788,Rankings_Master!$D$2:$D$788,A259,Rankings_Master!$E$2:$E$788,B259,Rankings_Master!$J$2:$J$788,"Yes"))</x:f>
        <x:v>202606</x:v>
      </x:c>
      <x:c r="G259" s="11" t="n">
        <x:f>IF(C259=0,"",MAXIFS(Rankings_Master!$H$2:$H$788,Rankings_Master!$D$2:$D$788,A259,Rankings_Master!$E$2:$E$788,B259,Rankings_Master!$J$2:$J$788,"Yes"))</x:f>
        <x:v>202607</x:v>
      </x:c>
      <x:c r="H259" s="11" t="str">
        <x:f>IF(C259=0,"Partial only",IF(C259&gt;=2,"Yes","No"))</x:f>
        <x:v>Yes</x:v>
      </x:c>
      <x:c r="I259" s="11" t="n">
        <x:f>IF(C259=0,"",INT(G259/100)-INT(F259/100)+1)</x:f>
        <x:v>1</x:v>
      </x:c>
      <x:c r="J259" s="11" t="str">
        <x:v>Thriller / Dark Romance</x:v>
      </x:c>
      <x:c r="K259" s="11" t="str">
        <x:v>Goldmann</x:v>
      </x:c>
      <x:c r="L259" s="11" t="str">
        <x:v>2026-06-24</x:v>
      </x:c>
      <x:c r="M259" s="11" t="str">
        <x:v>978-3-442-49800-0</x:v>
      </x:c>
      <x:c r="N259" s="11" t="str">
        <x:v>Yes</x:v>
      </x:c>
      <x:c r="O259" s="11" t="n">
        <x:v>1</x:v>
      </x:c>
      <x:c r="P259" s="11" t="str">
        <x:v>No</x:v>
      </x:c>
      <x:c r="Q259" s="11" t="str">
        <x:v>Full verified</x:v>
      </x:c>
    </x:row>
    <x:row r="260">
      <x:c r="A260" s="11" t="str">
        <x:v>Dire Bound</x:v>
      </x:c>
      <x:c r="B260" s="11" t="str">
        <x:v>Sable Sorensen</x:v>
      </x:c>
      <x:c r="C260" s="11" t="n">
        <x:f>COUNTIFS(Rankings_Master!$D$2:$D$788,A260,Rankings_Master!$E$2:$E$788,B260,Rankings_Master!$J$2:$J$788,"Yes")</x:f>
        <x:v>3</x:v>
      </x:c>
      <x:c r="D260" s="11" t="n">
        <x:f>IF(C260=0,"",MINIFS(Rankings_Master!$B$2:$B$788,Rankings_Master!$D$2:$D$788,A260,Rankings_Master!$E$2:$E$788,B260,Rankings_Master!$J$2:$J$788,"Yes"))</x:f>
        <x:v>9</x:v>
      </x:c>
      <x:c r="E260" s="14" t="n">
        <x:f>IF(C260=0,"",SUMIFS(Rankings_Master!$B$2:$B$788,Rankings_Master!$D$2:$D$788,A260,Rankings_Master!$E$2:$E$788,B260,Rankings_Master!$J$2:$J$788,"Yes")/C260)</x:f>
        <x:v>11.666666666666666</x:v>
      </x:c>
      <x:c r="F260" s="11" t="n">
        <x:f>IF(C260=0,"",MINIFS(Rankings_Master!$H$2:$H$788,Rankings_Master!$D$2:$D$788,A260,Rankings_Master!$E$2:$E$788,B260,Rankings_Master!$J$2:$J$788,"Yes"))</x:f>
        <x:v>202602</x:v>
      </x:c>
      <x:c r="G260" s="11" t="n">
        <x:f>IF(C260=0,"",MAXIFS(Rankings_Master!$H$2:$H$788,Rankings_Master!$D$2:$D$788,A260,Rankings_Master!$E$2:$E$788,B260,Rankings_Master!$J$2:$J$788,"Yes"))</x:f>
        <x:v>202604</x:v>
      </x:c>
      <x:c r="H260" s="11" t="str">
        <x:f>IF(C260=0,"Partial only",IF(C260&gt;=2,"Yes","No"))</x:f>
        <x:v>Yes</x:v>
      </x:c>
      <x:c r="I260" s="11" t="n">
        <x:f>IF(C260=0,"",INT(G260/100)-INT(F260/100)+1)</x:f>
        <x:v>1</x:v>
      </x:c>
      <x:c r="J260" s="11" t="str">
        <x:v>Fantasy / Romantasy</x:v>
      </x:c>
      <x:c r="K260" s="11" t="str">
        <x:v>Goldmann</x:v>
      </x:c>
      <x:c r="L260" s="11" t="str">
        <x:v>2026-02-25</x:v>
      </x:c>
      <x:c r="M260" s="11" t="str">
        <x:v>978-3-442-30243-7</x:v>
      </x:c>
      <x:c r="N260" s="11" t="str">
        <x:v>Yes</x:v>
      </x:c>
      <x:c r="O260" s="11" t="n">
        <x:v>1</x:v>
      </x:c>
      <x:c r="P260" s="11" t="str">
        <x:v>No</x:v>
      </x:c>
      <x:c r="Q260" s="11" t="str">
        <x:v>Full verified</x:v>
      </x:c>
    </x:row>
    <x:row r="261">
      <x:c r="A261" s="11" t="str">
        <x:v>Fury Bound</x:v>
      </x:c>
      <x:c r="B261" s="11" t="str">
        <x:v>Sable Sorensen</x:v>
      </x:c>
      <x:c r="C261" s="11" t="n">
        <x:f>COUNTIFS(Rankings_Master!$D$2:$D$788,A261,Rankings_Master!$E$2:$E$788,B261,Rankings_Master!$J$2:$J$788,"Yes")</x:f>
        <x:v>1</x:v>
      </x:c>
      <x:c r="D261" s="11" t="n">
        <x:f>IF(C261=0,"",MINIFS(Rankings_Master!$B$2:$B$788,Rankings_Master!$D$2:$D$788,A261,Rankings_Master!$E$2:$E$788,B261,Rankings_Master!$J$2:$J$788,"Yes"))</x:f>
        <x:v>8</x:v>
      </x:c>
      <x:c r="E261" s="14" t="n">
        <x:f>IF(C261=0,"",SUMIFS(Rankings_Master!$B$2:$B$788,Rankings_Master!$D$2:$D$788,A261,Rankings_Master!$E$2:$E$788,B261,Rankings_Master!$J$2:$J$788,"Yes")/C261)</x:f>
        <x:v>8</x:v>
      </x:c>
      <x:c r="F261" s="11" t="n">
        <x:f>IF(C261=0,"",MINIFS(Rankings_Master!$H$2:$H$788,Rankings_Master!$D$2:$D$788,A261,Rankings_Master!$E$2:$E$788,B261,Rankings_Master!$J$2:$J$788,"Yes"))</x:f>
        <x:v>202607</x:v>
      </x:c>
      <x:c r="G261" s="11" t="n">
        <x:f>IF(C261=0,"",MAXIFS(Rankings_Master!$H$2:$H$788,Rankings_Master!$D$2:$D$788,A261,Rankings_Master!$E$2:$E$788,B261,Rankings_Master!$J$2:$J$788,"Yes"))</x:f>
        <x:v>202607</x:v>
      </x:c>
      <x:c r="H261" s="11" t="str">
        <x:f>IF(C261=0,"Partial only",IF(C261&gt;=2,"Yes","No"))</x:f>
        <x:v>No</x:v>
      </x:c>
      <x:c r="I261" s="11" t="n">
        <x:f>IF(C261=0,"",INT(G261/100)-INT(F261/100)+1)</x:f>
        <x:v>1</x:v>
      </x:c>
      <x:c r="J261" s="11" t="str">
        <x:v>Fantasy / Romantasy</x:v>
      </x:c>
      <x:c r="K261" s="11" t="str">
        <x:v>Goldmann</x:v>
      </x:c>
      <x:c r="L261" s="11" t="str">
        <x:v>2026-07-15</x:v>
      </x:c>
      <x:c r="M261" s="11" t="str">
        <x:v>978-3-442-30257-4</x:v>
      </x:c>
      <x:c r="N261" s="11" t="str">
        <x:v>Yes</x:v>
      </x:c>
      <x:c r="O261" s="11" t="n">
        <x:v>2</x:v>
      </x:c>
      <x:c r="P261" s="11" t="str">
        <x:v>No</x:v>
      </x:c>
      <x:c r="Q261" s="11" t="str">
        <x:v>Full verified</x:v>
      </x:c>
    </x:row>
    <x:row r="262">
      <x:c r="A262" s="11" t="str">
        <x:v>When The Moon Hatched</x:v>
      </x:c>
      <x:c r="B262" s="11" t="str">
        <x:v>Sarah A. Parker</x:v>
      </x:c>
      <x:c r="C262" s="11" t="n">
        <x:f>COUNTIFS(Rankings_Master!$D$2:$D$788,A262,Rankings_Master!$E$2:$E$788,B262,Rankings_Master!$J$2:$J$788,"Yes")</x:f>
        <x:v>1</x:v>
      </x:c>
      <x:c r="D262" s="11" t="n">
        <x:f>IF(C262=0,"",MINIFS(Rankings_Master!$B$2:$B$788,Rankings_Master!$D$2:$D$788,A262,Rankings_Master!$E$2:$E$788,B262,Rankings_Master!$J$2:$J$788,"Yes"))</x:f>
        <x:v>2</x:v>
      </x:c>
      <x:c r="E262" s="14" t="n">
        <x:f>IF(C262=0,"",SUMIFS(Rankings_Master!$B$2:$B$788,Rankings_Master!$D$2:$D$788,A262,Rankings_Master!$E$2:$E$788,B262,Rankings_Master!$J$2:$J$788,"Yes")/C262)</x:f>
        <x:v>2</x:v>
      </x:c>
      <x:c r="F262" s="11" t="n">
        <x:f>IF(C262=0,"",MINIFS(Rankings_Master!$H$2:$H$788,Rankings_Master!$D$2:$D$788,A262,Rankings_Master!$E$2:$E$788,B262,Rankings_Master!$J$2:$J$788,"Yes"))</x:f>
        <x:v>202407</x:v>
      </x:c>
      <x:c r="G262" s="11" t="n">
        <x:f>IF(C262=0,"",MAXIFS(Rankings_Master!$H$2:$H$788,Rankings_Master!$D$2:$D$788,A262,Rankings_Master!$E$2:$E$788,B262,Rankings_Master!$J$2:$J$788,"Yes"))</x:f>
        <x:v>202407</x:v>
      </x:c>
      <x:c r="H262" s="11" t="str">
        <x:f>IF(C262=0,"Partial only",IF(C262&gt;=2,"Yes","No"))</x:f>
        <x:v>No</x:v>
      </x:c>
      <x:c r="I262" s="11" t="n">
        <x:f>IF(C262=0,"",INT(G262/100)-INT(F262/100)+1)</x:f>
        <x:v>1</x:v>
      </x:c>
      <x:c r="J262" s="11" t="str">
        <x:v>Fantasy / Romantasy</x:v>
      </x:c>
      <x:c r="K262" s="11" t="str">
        <x:v>Penguin</x:v>
      </x:c>
      <x:c r="L262" s="11" t="str">
        <x:v>2024-07-10</x:v>
      </x:c>
      <x:c r="M262" s="11" t="str">
        <x:v>978-3-328-60391-7</x:v>
      </x:c>
      <x:c r="N262" s="11" t="str">
        <x:v>Yes</x:v>
      </x:c>
      <x:c r="O262" s="11" t="n">
        <x:v>1</x:v>
      </x:c>
      <x:c r="P262" s="11" t="str">
        <x:v>No</x:v>
      </x:c>
      <x:c r="Q262" s="11" t="str">
        <x:v>Full verified</x:v>
      </x:c>
    </x:row>
    <x:row r="263">
      <x:c r="A263" s="11" t="str">
        <x:v>Crescent City - Wenn die Schatten sich erheben</x:v>
      </x:c>
      <x:c r="B263" s="11" t="str">
        <x:v>Sarah J. Maas</x:v>
      </x:c>
      <x:c r="C263" s="11" t="n">
        <x:f>COUNTIFS(Rankings_Master!$D$2:$D$788,A263,Rankings_Master!$E$2:$E$788,B263,Rankings_Master!$J$2:$J$788,"Yes")</x:f>
        <x:v>1</x:v>
      </x:c>
      <x:c r="D263" s="11" t="n">
        <x:f>IF(C263=0,"",MINIFS(Rankings_Master!$B$2:$B$788,Rankings_Master!$D$2:$D$788,A263,Rankings_Master!$E$2:$E$788,B263,Rankings_Master!$J$2:$J$788,"Yes"))</x:f>
        <x:v>1</x:v>
      </x:c>
      <x:c r="E263" s="14" t="n">
        <x:f>IF(C263=0,"",SUMIFS(Rankings_Master!$B$2:$B$788,Rankings_Master!$D$2:$D$788,A263,Rankings_Master!$E$2:$E$788,B263,Rankings_Master!$J$2:$J$788,"Yes")/C263)</x:f>
        <x:v>1</x:v>
      </x:c>
      <x:c r="F263" s="11" t="n">
        <x:f>IF(C263=0,"",MINIFS(Rankings_Master!$H$2:$H$788,Rankings_Master!$D$2:$D$788,A263,Rankings_Master!$E$2:$E$788,B263,Rankings_Master!$J$2:$J$788,"Yes"))</x:f>
        <x:v>202403</x:v>
      </x:c>
      <x:c r="G263" s="11" t="n">
        <x:f>IF(C263=0,"",MAXIFS(Rankings_Master!$H$2:$H$788,Rankings_Master!$D$2:$D$788,A263,Rankings_Master!$E$2:$E$788,B263,Rankings_Master!$J$2:$J$788,"Yes"))</x:f>
        <x:v>202403</x:v>
      </x:c>
      <x:c r="H263" s="11" t="str">
        <x:f>IF(C263=0,"Partial only",IF(C263&gt;=2,"Yes","No"))</x:f>
        <x:v>No</x:v>
      </x:c>
      <x:c r="I263" s="11" t="n">
        <x:f>IF(C263=0,"",INT(G263/100)-INT(F263/100)+1)</x:f>
        <x:v>1</x:v>
      </x:c>
      <x:c r="J263" s="11" t="str">
        <x:v>Fantasy</x:v>
      </x:c>
      <x:c r="K263" s="11" t="str">
        <x:v>dtv</x:v>
      </x:c>
      <x:c r="L263" s="11" t="str">
        <x:v>2024-03-07</x:v>
      </x:c>
      <x:c r="M263" s="11" t="str">
        <x:v>978-3-423-76477-3</x:v>
      </x:c>
      <x:c r="N263" s="11" t="str">
        <x:v>Yes</x:v>
      </x:c>
      <x:c r="O263" s="11" t="n">
        <x:v>3</x:v>
      </x:c>
      <x:c r="P263" s="11" t="str">
        <x:v>No</x:v>
      </x:c>
      <x:c r="Q263" s="11" t="str">
        <x:v>Full verified</x:v>
      </x:c>
    </x:row>
    <x:row r="264">
      <x:c r="A264" s="11" t="str">
        <x:v>Das Reich der sieben Höfe - Dornen und Rosen</x:v>
      </x:c>
      <x:c r="B264" s="11" t="str">
        <x:v>Sarah J. Maas</x:v>
      </x:c>
      <x:c r="C264" s="11" t="n">
        <x:f>COUNTIFS(Rankings_Master!$D$2:$D$788,A264,Rankings_Master!$E$2:$E$788,B264,Rankings_Master!$J$2:$J$788,"Yes")</x:f>
        <x:v>4</x:v>
      </x:c>
      <x:c r="D264" s="11" t="n">
        <x:f>IF(C264=0,"",MINIFS(Rankings_Master!$B$2:$B$788,Rankings_Master!$D$2:$D$788,A264,Rankings_Master!$E$2:$E$788,B264,Rankings_Master!$J$2:$J$788,"Yes"))</x:f>
        <x:v>16</x:v>
      </x:c>
      <x:c r="E264" s="14" t="n">
        <x:f>IF(C264=0,"",SUMIFS(Rankings_Master!$B$2:$B$788,Rankings_Master!$D$2:$D$788,A264,Rankings_Master!$E$2:$E$788,B264,Rankings_Master!$J$2:$J$788,"Yes")/C264)</x:f>
        <x:v>18</x:v>
      </x:c>
      <x:c r="F264" s="11" t="n">
        <x:f>IF(C264=0,"",MINIFS(Rankings_Master!$H$2:$H$788,Rankings_Master!$D$2:$D$788,A264,Rankings_Master!$E$2:$E$788,B264,Rankings_Master!$J$2:$J$788,"Yes"))</x:f>
        <x:v>202403</x:v>
      </x:c>
      <x:c r="G264" s="11" t="n">
        <x:f>IF(C264=0,"",MAXIFS(Rankings_Master!$H$2:$H$788,Rankings_Master!$D$2:$D$788,A264,Rankings_Master!$E$2:$E$788,B264,Rankings_Master!$J$2:$J$788,"Yes"))</x:f>
        <x:v>202502</x:v>
      </x:c>
      <x:c r="H264" s="11" t="str">
        <x:f>IF(C264=0,"Partial only",IF(C264&gt;=2,"Yes","No"))</x:f>
        <x:v>Yes</x:v>
      </x:c>
      <x:c r="I264" s="11" t="n">
        <x:f>IF(C264=0,"",INT(G264/100)-INT(F264/100)+1)</x:f>
        <x:v>2</x:v>
      </x:c>
      <x:c r="J264" s="11" t="str">
        <x:v>Fantasy / Romantasy</x:v>
      </x:c>
      <x:c r="K264" s="11" t="str">
        <x:v>dtv</x:v>
      </x:c>
      <x:c r="L264" s="11" t="str">
        <x:v>2020-05-22</x:v>
      </x:c>
      <x:c r="M264" s="11" t="str">
        <x:v>978-3-423-71849-3</x:v>
      </x:c>
      <x:c r="N264" s="11" t="str">
        <x:v>Yes</x:v>
      </x:c>
      <x:c r="O264" s="11" t="n">
        <x:v>1</x:v>
      </x:c>
      <x:c r="P264" s="11" t="str">
        <x:v>No</x:v>
      </x:c>
      <x:c r="Q264" s="11" t="str">
        <x:v>Full verified</x:v>
      </x:c>
    </x:row>
    <x:row r="265">
      <x:c r="A265" s="11" t="str">
        <x:v>Throne of Glass - Der verwundete Krieger</x:v>
      </x:c>
      <x:c r="B265" s="11" t="str">
        <x:v>Sarah J. Maas</x:v>
      </x:c>
      <x:c r="C265" s="11" t="n">
        <x:f>COUNTIFS(Rankings_Master!$D$2:$D$788,A265,Rankings_Master!$E$2:$E$788,B265,Rankings_Master!$J$2:$J$788,"Yes")</x:f>
        <x:v>1</x:v>
      </x:c>
      <x:c r="D265" s="11" t="n">
        <x:f>IF(C265=0,"",MINIFS(Rankings_Master!$B$2:$B$788,Rankings_Master!$D$2:$D$788,A265,Rankings_Master!$E$2:$E$788,B265,Rankings_Master!$J$2:$J$788,"Yes"))</x:f>
        <x:v>3</x:v>
      </x:c>
      <x:c r="E265" s="14" t="n">
        <x:f>IF(C265=0,"",SUMIFS(Rankings_Master!$B$2:$B$788,Rankings_Master!$D$2:$D$788,A265,Rankings_Master!$E$2:$E$788,B265,Rankings_Master!$J$2:$J$788,"Yes")/C265)</x:f>
        <x:v>3</x:v>
      </x:c>
      <x:c r="F265" s="11" t="n">
        <x:f>IF(C265=0,"",MINIFS(Rankings_Master!$H$2:$H$788,Rankings_Master!$D$2:$D$788,A265,Rankings_Master!$E$2:$E$788,B265,Rankings_Master!$J$2:$J$788,"Yes"))</x:f>
        <x:v>202507</x:v>
      </x:c>
      <x:c r="G265" s="11" t="n">
        <x:f>IF(C265=0,"",MAXIFS(Rankings_Master!$H$2:$H$788,Rankings_Master!$D$2:$D$788,A265,Rankings_Master!$E$2:$E$788,B265,Rankings_Master!$J$2:$J$788,"Yes"))</x:f>
        <x:v>202507</x:v>
      </x:c>
      <x:c r="H265" s="11" t="str">
        <x:f>IF(C265=0,"Partial only",IF(C265&gt;=2,"Yes","No"))</x:f>
        <x:v>No</x:v>
      </x:c>
      <x:c r="I265" s="11" t="n">
        <x:f>IF(C265=0,"",INT(G265/100)-INT(F265/100)+1)</x:f>
        <x:v>1</x:v>
      </x:c>
      <x:c r="J265" s="11" t="str">
        <x:v>Fantasy / YA</x:v>
      </x:c>
      <x:c r="K265" s="11" t="str">
        <x:v>dtv</x:v>
      </x:c>
      <x:c r="L265" s="11" t="str">
        <x:v>2025-07-10</x:v>
      </x:c>
      <x:c r="M265" s="11" t="str">
        <x:v>978-3-423-76535-0</x:v>
      </x:c>
      <x:c r="N265" s="11" t="str">
        <x:v>Yes</x:v>
      </x:c>
      <x:c r="O265" s="11" t="n">
        <x:v>6</x:v>
      </x:c>
      <x:c r="P265" s="11" t="str">
        <x:v>No</x:v>
      </x:c>
      <x:c r="Q265" s="11" t="str">
        <x:v>Full verified</x:v>
      </x:c>
    </x:row>
    <x:row r="266">
      <x:c r="A266" s="11" t="str">
        <x:v>Throne of Glass - Die Erwählte</x:v>
      </x:c>
      <x:c r="B266" s="11" t="str">
        <x:v>Sarah J. Maas</x:v>
      </x:c>
      <x:c r="C266" s="11" t="n">
        <x:f>COUNTIFS(Rankings_Master!$D$2:$D$788,A266,Rankings_Master!$E$2:$E$788,B266,Rankings_Master!$J$2:$J$788,"Yes")</x:f>
        <x:v>1</x:v>
      </x:c>
      <x:c r="D266" s="11" t="n">
        <x:f>IF(C266=0,"",MINIFS(Rankings_Master!$B$2:$B$788,Rankings_Master!$D$2:$D$788,A266,Rankings_Master!$E$2:$E$788,B266,Rankings_Master!$J$2:$J$788,"Yes"))</x:f>
        <x:v>11</x:v>
      </x:c>
      <x:c r="E266" s="14" t="n">
        <x:f>IF(C266=0,"",SUMIFS(Rankings_Master!$B$2:$B$788,Rankings_Master!$D$2:$D$788,A266,Rankings_Master!$E$2:$E$788,B266,Rankings_Master!$J$2:$J$788,"Yes")/C266)</x:f>
        <x:v>11</x:v>
      </x:c>
      <x:c r="F266" s="11" t="n">
        <x:f>IF(C266=0,"",MINIFS(Rankings_Master!$H$2:$H$788,Rankings_Master!$D$2:$D$788,A266,Rankings_Master!$E$2:$E$788,B266,Rankings_Master!$J$2:$J$788,"Yes"))</x:f>
        <x:v>202503</x:v>
      </x:c>
      <x:c r="G266" s="11" t="n">
        <x:f>IF(C266=0,"",MAXIFS(Rankings_Master!$H$2:$H$788,Rankings_Master!$D$2:$D$788,A266,Rankings_Master!$E$2:$E$788,B266,Rankings_Master!$J$2:$J$788,"Yes"))</x:f>
        <x:v>202503</x:v>
      </x:c>
      <x:c r="H266" s="11" t="str">
        <x:f>IF(C266=0,"Partial only",IF(C266&gt;=2,"Yes","No"))</x:f>
        <x:v>No</x:v>
      </x:c>
      <x:c r="I266" s="11" t="n">
        <x:f>IF(C266=0,"",INT(G266/100)-INT(F266/100)+1)</x:f>
        <x:v>1</x:v>
      </x:c>
      <x:c r="J266" s="11" t="str">
        <x:v>Fantasy / YA</x:v>
      </x:c>
      <x:c r="K266" s="11" t="str">
        <x:v>dtv</x:v>
      </x:c>
      <x:c r="L266" s="11" t="str">
        <x:v>2025</x:v>
      </x:c>
      <x:c r="M266" s="11" t="str">
        <x:v>978-3-423-76530-5</x:v>
      </x:c>
      <x:c r="N266" s="11" t="str">
        <x:v>Yes</x:v>
      </x:c>
      <x:c r="O266" s="11" t="n">
        <x:v>1</x:v>
      </x:c>
      <x:c r="P266" s="11" t="str">
        <x:v>No</x:v>
      </x:c>
      <x:c r="Q266" s="11" t="str">
        <x:v>Core verified</x:v>
      </x:c>
    </x:row>
    <x:row r="267">
      <x:c r="A267" s="11" t="str">
        <x:v>Throne of Glass - Königin der Finsternis</x:v>
      </x:c>
      <x:c r="B267" s="11" t="str">
        <x:v>Sarah J. Maas</x:v>
      </x:c>
      <x:c r="C267" s="11" t="n">
        <x:f>COUNTIFS(Rankings_Master!$D$2:$D$788,A267,Rankings_Master!$E$2:$E$788,B267,Rankings_Master!$J$2:$J$788,"Yes")</x:f>
        <x:v>1</x:v>
      </x:c>
      <x:c r="D267" s="11" t="n">
        <x:f>IF(C267=0,"",MINIFS(Rankings_Master!$B$2:$B$788,Rankings_Master!$D$2:$D$788,A267,Rankings_Master!$E$2:$E$788,B267,Rankings_Master!$J$2:$J$788,"Yes"))</x:f>
        <x:v>17</x:v>
      </x:c>
      <x:c r="E267" s="14" t="n">
        <x:f>IF(C267=0,"",SUMIFS(Rankings_Master!$B$2:$B$788,Rankings_Master!$D$2:$D$788,A267,Rankings_Master!$E$2:$E$788,B267,Rankings_Master!$J$2:$J$788,"Yes")/C267)</x:f>
        <x:v>17</x:v>
      </x:c>
      <x:c r="F267" s="11" t="n">
        <x:f>IF(C267=0,"",MINIFS(Rankings_Master!$H$2:$H$788,Rankings_Master!$D$2:$D$788,A267,Rankings_Master!$E$2:$E$788,B267,Rankings_Master!$J$2:$J$788,"Yes"))</x:f>
        <x:v>202506</x:v>
      </x:c>
      <x:c r="G267" s="11" t="n">
        <x:f>IF(C267=0,"",MAXIFS(Rankings_Master!$H$2:$H$788,Rankings_Master!$D$2:$D$788,A267,Rankings_Master!$E$2:$E$788,B267,Rankings_Master!$J$2:$J$788,"Yes"))</x:f>
        <x:v>202506</x:v>
      </x:c>
      <x:c r="H267" s="11" t="str">
        <x:f>IF(C267=0,"Partial only",IF(C267&gt;=2,"Yes","No"))</x:f>
        <x:v>No</x:v>
      </x:c>
      <x:c r="I267" s="11" t="n">
        <x:f>IF(C267=0,"",INT(G267/100)-INT(F267/100)+1)</x:f>
        <x:v>1</x:v>
      </x:c>
      <x:c r="J267" s="11" t="str">
        <x:v>Fantasy / YA</x:v>
      </x:c>
      <x:c r="K267" s="11" t="str">
        <x:v>dtv</x:v>
      </x:c>
      <x:c r="L267" s="11" t="str">
        <x:v>2025-06-12</x:v>
      </x:c>
      <x:c r="M267" s="11" t="str">
        <x:v>978-3-423-76533-6</x:v>
      </x:c>
      <x:c r="N267" s="11" t="str">
        <x:v>Yes</x:v>
      </x:c>
      <x:c r="O267" s="11" t="n">
        <x:v>4</x:v>
      </x:c>
      <x:c r="P267" s="11" t="str">
        <x:v>No</x:v>
      </x:c>
      <x:c r="Q267" s="11" t="str">
        <x:v>Full verified</x:v>
      </x:c>
    </x:row>
    <x:row r="268">
      <x:c r="A268" s="11" t="str">
        <x:v>Dunbridge Academy - Anywhere</x:v>
      </x:c>
      <x:c r="B268" s="11" t="str">
        <x:v>Sarah Sprinz</x:v>
      </x:c>
      <x:c r="C268" s="11" t="n">
        <x:f>COUNTIFS(Rankings_Master!$D$2:$D$788,A268,Rankings_Master!$E$2:$E$788,B268,Rankings_Master!$J$2:$J$788,"Yes")</x:f>
        <x:v>1</x:v>
      </x:c>
      <x:c r="D268" s="11" t="n">
        <x:f>IF(C268=0,"",MINIFS(Rankings_Master!$B$2:$B$788,Rankings_Master!$D$2:$D$788,A268,Rankings_Master!$E$2:$E$788,B268,Rankings_Master!$J$2:$J$788,"Yes"))</x:f>
        <x:v>17</x:v>
      </x:c>
      <x:c r="E268" s="14" t="n">
        <x:f>IF(C268=0,"",SUMIFS(Rankings_Master!$B$2:$B$788,Rankings_Master!$D$2:$D$788,A268,Rankings_Master!$E$2:$E$788,B268,Rankings_Master!$J$2:$J$788,"Yes")/C268)</x:f>
        <x:v>17</x:v>
      </x:c>
      <x:c r="F268" s="11" t="n">
        <x:f>IF(C268=0,"",MINIFS(Rankings_Master!$H$2:$H$788,Rankings_Master!$D$2:$D$788,A268,Rankings_Master!$E$2:$E$788,B268,Rankings_Master!$J$2:$J$788,"Yes"))</x:f>
        <x:v>202304</x:v>
      </x:c>
      <x:c r="G268" s="11" t="n">
        <x:f>IF(C268=0,"",MAXIFS(Rankings_Master!$H$2:$H$788,Rankings_Master!$D$2:$D$788,A268,Rankings_Master!$E$2:$E$788,B268,Rankings_Master!$J$2:$J$788,"Yes"))</x:f>
        <x:v>202304</x:v>
      </x:c>
      <x:c r="H268" s="11" t="str">
        <x:f>IF(C268=0,"Partial only",IF(C268&gt;=2,"Yes","No"))</x:f>
        <x:v>No</x:v>
      </x:c>
      <x:c r="I268" s="11" t="n">
        <x:f>IF(C268=0,"",INT(G268/100)-INT(F268/100)+1)</x:f>
        <x:v>1</x:v>
      </x:c>
      <x:c r="J268" s="11" t="str">
        <x:v>Romance / New Adult</x:v>
      </x:c>
      <x:c r="K268" s="11" t="str">
        <x:v>LYX</x:v>
      </x:c>
      <x:c r="L268" s="11" t="str">
        <x:v>2022-01-26</x:v>
      </x:c>
      <x:c r="M268" s="11" t="str">
        <x:v>978-3-7363-1655-3</x:v>
      </x:c>
      <x:c r="N268" s="11" t="str">
        <x:v>Yes</x:v>
      </x:c>
      <x:c r="O268" s="11" t="n">
        <x:v>3</x:v>
      </x:c>
      <x:c r="P268" s="11" t="str">
        <x:v>No</x:v>
      </x:c>
      <x:c r="Q268" s="11" t="str">
        <x:v>Full verified</x:v>
      </x:c>
    </x:row>
    <x:row r="269">
      <x:c r="A269" s="11" t="str">
        <x:v>Dunbridge Academy - Wherever</x:v>
      </x:c>
      <x:c r="B269" s="11" t="str">
        <x:v>Sarah Sprinz</x:v>
      </x:c>
      <x:c r="C269" s="11" t="n">
        <x:f>COUNTIFS(Rankings_Master!$D$2:$D$788,A269,Rankings_Master!$E$2:$E$788,B269,Rankings_Master!$J$2:$J$788,"Yes")</x:f>
        <x:v>2</x:v>
      </x:c>
      <x:c r="D269" s="11" t="n">
        <x:f>IF(C269=0,"",MINIFS(Rankings_Master!$B$2:$B$788,Rankings_Master!$D$2:$D$788,A269,Rankings_Master!$E$2:$E$788,B269,Rankings_Master!$J$2:$J$788,"Yes"))</x:f>
        <x:v>3</x:v>
      </x:c>
      <x:c r="E269" s="14" t="n">
        <x:f>IF(C269=0,"",SUMIFS(Rankings_Master!$B$2:$B$788,Rankings_Master!$D$2:$D$788,A269,Rankings_Master!$E$2:$E$788,B269,Rankings_Master!$J$2:$J$788,"Yes")/C269)</x:f>
        <x:v>7</x:v>
      </x:c>
      <x:c r="F269" s="11" t="n">
        <x:f>IF(C269=0,"",MINIFS(Rankings_Master!$H$2:$H$788,Rankings_Master!$D$2:$D$788,A269,Rankings_Master!$E$2:$E$788,B269,Rankings_Master!$J$2:$J$788,"Yes"))</x:f>
        <x:v>202602</x:v>
      </x:c>
      <x:c r="G269" s="11" t="n">
        <x:f>IF(C269=0,"",MAXIFS(Rankings_Master!$H$2:$H$788,Rankings_Master!$D$2:$D$788,A269,Rankings_Master!$E$2:$E$788,B269,Rankings_Master!$J$2:$J$788,"Yes"))</x:f>
        <x:v>202603</x:v>
      </x:c>
      <x:c r="H269" s="11" t="str">
        <x:f>IF(C269=0,"Partial only",IF(C269&gt;=2,"Yes","No"))</x:f>
        <x:v>Yes</x:v>
      </x:c>
      <x:c r="I269" s="11" t="n">
        <x:f>IF(C269=0,"",INT(G269/100)-INT(F269/100)+1)</x:f>
        <x:v>1</x:v>
      </x:c>
      <x:c r="J269" s="11" t="str">
        <x:v>Romance / New Adult</x:v>
      </x:c>
      <x:c r="K269" s="11" t="str">
        <x:v>LYX</x:v>
      </x:c>
      <x:c r="L269" s="11" t="str">
        <x:v>2026-02-09</x:v>
      </x:c>
      <x:c r="M269" s="11" t="str">
        <x:v>978-3-7363-2570-8</x:v>
      </x:c>
      <x:c r="N269" s="11" t="str">
        <x:v>Yes</x:v>
      </x:c>
      <x:c r="O269" s="11" t="n">
        <x:v>5</x:v>
      </x:c>
      <x:c r="P269" s="11" t="str">
        <x:v>No</x:v>
      </x:c>
      <x:c r="Q269" s="11" t="str">
        <x:v>Full verified</x:v>
      </x:c>
    </x:row>
    <x:row r="270">
      <x:c r="A270" s="11" t="str">
        <x:v>Dunbridge Academy - Whoever</x:v>
      </x:c>
      <x:c r="B270" s="11" t="str">
        <x:v>Sarah Sprinz</x:v>
      </x:c>
      <x:c r="C270" s="11" t="n">
        <x:f>COUNTIFS(Rankings_Master!$D$2:$D$788,A270,Rankings_Master!$E$2:$E$788,B270,Rankings_Master!$J$2:$J$788,"Yes")</x:f>
        <x:v>1</x:v>
      </x:c>
      <x:c r="D270" s="11" t="n">
        <x:f>IF(C270=0,"",MINIFS(Rankings_Master!$B$2:$B$788,Rankings_Master!$D$2:$D$788,A270,Rankings_Master!$E$2:$E$788,B270,Rankings_Master!$J$2:$J$788,"Yes"))</x:f>
        <x:v>11</x:v>
      </x:c>
      <x:c r="E270" s="14" t="n">
        <x:f>IF(C270=0,"",SUMIFS(Rankings_Master!$B$2:$B$788,Rankings_Master!$D$2:$D$788,A270,Rankings_Master!$E$2:$E$788,B270,Rankings_Master!$J$2:$J$788,"Yes")/C270)</x:f>
        <x:v>11</x:v>
      </x:c>
      <x:c r="F270" s="11" t="n">
        <x:f>IF(C270=0,"",MINIFS(Rankings_Master!$H$2:$H$788,Rankings_Master!$D$2:$D$788,A270,Rankings_Master!$E$2:$E$788,B270,Rankings_Master!$J$2:$J$788,"Yes"))</x:f>
        <x:v>202606</x:v>
      </x:c>
      <x:c r="G270" s="11" t="n">
        <x:f>IF(C270=0,"",MAXIFS(Rankings_Master!$H$2:$H$788,Rankings_Master!$D$2:$D$788,A270,Rankings_Master!$E$2:$E$788,B270,Rankings_Master!$J$2:$J$788,"Yes"))</x:f>
        <x:v>202606</x:v>
      </x:c>
      <x:c r="H270" s="11" t="str">
        <x:f>IF(C270=0,"Partial only",IF(C270&gt;=2,"Yes","No"))</x:f>
        <x:v>No</x:v>
      </x:c>
      <x:c r="I270" s="11" t="n">
        <x:f>IF(C270=0,"",INT(G270/100)-INT(F270/100)+1)</x:f>
        <x:v>1</x:v>
      </x:c>
      <x:c r="J270" s="11" t="str">
        <x:v>Romance / New Adult</x:v>
      </x:c>
      <x:c r="K270" s="11" t="str">
        <x:v>LYX</x:v>
      </x:c>
      <x:c r="L270" s="11" t="str">
        <x:v>2026-06-08</x:v>
      </x:c>
      <x:c r="M270" s="11" t="str">
        <x:v>978-3-7363-2613-2</x:v>
      </x:c>
      <x:c r="N270" s="11" t="str">
        <x:v>Yes</x:v>
      </x:c>
      <x:c r="O270" s="11" t="n">
        <x:v>6</x:v>
      </x:c>
      <x:c r="P270" s="11" t="str">
        <x:v>No</x:v>
      </x:c>
      <x:c r="Q270" s="11" t="str">
        <x:v>Full verified</x:v>
      </x:c>
    </x:row>
    <x:row r="271">
      <x:c r="A271" s="11" t="str">
        <x:v>Infinity Falling - Change My Mind</x:v>
      </x:c>
      <x:c r="B271" s="11" t="str">
        <x:v>Sarah Sprinz</x:v>
      </x:c>
      <x:c r="C271" s="11" t="n">
        <x:f>COUNTIFS(Rankings_Master!$D$2:$D$788,A271,Rankings_Master!$E$2:$E$788,B271,Rankings_Master!$J$2:$J$788,"Yes")</x:f>
        <x:v>1</x:v>
      </x:c>
      <x:c r="D271" s="11" t="n">
        <x:f>IF(C271=0,"",MINIFS(Rankings_Master!$B$2:$B$788,Rankings_Master!$D$2:$D$788,A271,Rankings_Master!$E$2:$E$788,B271,Rankings_Master!$J$2:$J$788,"Yes"))</x:f>
        <x:v>8</x:v>
      </x:c>
      <x:c r="E271" s="14" t="n">
        <x:f>IF(C271=0,"",SUMIFS(Rankings_Master!$B$2:$B$788,Rankings_Master!$D$2:$D$788,A271,Rankings_Master!$E$2:$E$788,B271,Rankings_Master!$J$2:$J$788,"Yes")/C271)</x:f>
        <x:v>8</x:v>
      </x:c>
      <x:c r="F271" s="11" t="n">
        <x:f>IF(C271=0,"",MINIFS(Rankings_Master!$H$2:$H$788,Rankings_Master!$D$2:$D$788,A271,Rankings_Master!$E$2:$E$788,B271,Rankings_Master!$J$2:$J$788,"Yes"))</x:f>
        <x:v>202402</x:v>
      </x:c>
      <x:c r="G271" s="11" t="n">
        <x:f>IF(C271=0,"",MAXIFS(Rankings_Master!$H$2:$H$788,Rankings_Master!$D$2:$D$788,A271,Rankings_Master!$E$2:$E$788,B271,Rankings_Master!$J$2:$J$788,"Yes"))</x:f>
        <x:v>202402</x:v>
      </x:c>
      <x:c r="H271" s="11" t="str">
        <x:f>IF(C271=0,"Partial only",IF(C271&gt;=2,"Yes","No"))</x:f>
        <x:v>No</x:v>
      </x:c>
      <x:c r="I271" s="11" t="n">
        <x:f>IF(C271=0,"",INT(G271/100)-INT(F271/100)+1)</x:f>
        <x:v>1</x:v>
      </x:c>
      <x:c r="J271" s="11" t="str">
        <x:v>Romance / New Adult</x:v>
      </x:c>
      <x:c r="K271" s="11" t="str">
        <x:v>LYX</x:v>
      </x:c>
      <x:c r="L271" s="11" t="str">
        <x:v>2024-02-20</x:v>
      </x:c>
      <x:c r="M271" s="11" t="str">
        <x:v>978-3-7363-2023-9</x:v>
      </x:c>
      <x:c r="N271" s="11" t="str">
        <x:v>Yes</x:v>
      </x:c>
      <x:c r="O271" s="11" t="n">
        <x:v>2</x:v>
      </x:c>
      <x:c r="P271" s="11" t="str">
        <x:v>No</x:v>
      </x:c>
      <x:c r="Q271" s="11" t="str">
        <x:v>Full verified</x:v>
      </x:c>
    </x:row>
    <x:row r="272">
      <x:c r="A272" s="11" t="str">
        <x:v>Infinity Falling - Mess Me Up</x:v>
      </x:c>
      <x:c r="B272" s="11" t="str">
        <x:v>Sarah Sprinz</x:v>
      </x:c>
      <x:c r="C272" s="11" t="n">
        <x:f>COUNTIFS(Rankings_Master!$D$2:$D$788,A272,Rankings_Master!$E$2:$E$788,B272,Rankings_Master!$J$2:$J$788,"Yes")</x:f>
        <x:v>1</x:v>
      </x:c>
      <x:c r="D272" s="11" t="n">
        <x:f>IF(C272=0,"",MINIFS(Rankings_Master!$B$2:$B$788,Rankings_Master!$D$2:$D$788,A272,Rankings_Master!$E$2:$E$788,B272,Rankings_Master!$J$2:$J$788,"Yes"))</x:f>
        <x:v>8</x:v>
      </x:c>
      <x:c r="E272" s="14" t="n">
        <x:f>IF(C272=0,"",SUMIFS(Rankings_Master!$B$2:$B$788,Rankings_Master!$D$2:$D$788,A272,Rankings_Master!$E$2:$E$788,B272,Rankings_Master!$J$2:$J$788,"Yes")/C272)</x:f>
        <x:v>8</x:v>
      </x:c>
      <x:c r="F272" s="11" t="n">
        <x:f>IF(C272=0,"",MINIFS(Rankings_Master!$H$2:$H$788,Rankings_Master!$D$2:$D$788,A272,Rankings_Master!$E$2:$E$788,B272,Rankings_Master!$J$2:$J$788,"Yes"))</x:f>
        <x:v>202308</x:v>
      </x:c>
      <x:c r="G272" s="11" t="n">
        <x:f>IF(C272=0,"",MAXIFS(Rankings_Master!$H$2:$H$788,Rankings_Master!$D$2:$D$788,A272,Rankings_Master!$E$2:$E$788,B272,Rankings_Master!$J$2:$J$788,"Yes"))</x:f>
        <x:v>202308</x:v>
      </x:c>
      <x:c r="H272" s="11" t="str">
        <x:f>IF(C272=0,"Partial only",IF(C272&gt;=2,"Yes","No"))</x:f>
        <x:v>No</x:v>
      </x:c>
      <x:c r="I272" s="11" t="n">
        <x:f>IF(C272=0,"",INT(G272/100)-INT(F272/100)+1)</x:f>
        <x:v>1</x:v>
      </x:c>
      <x:c r="J272" s="11" t="str">
        <x:v>Romance / New Adult</x:v>
      </x:c>
      <x:c r="K272" s="11" t="str">
        <x:v>LYX</x:v>
      </x:c>
      <x:c r="L272" s="11" t="str">
        <x:v>2023-08-22</x:v>
      </x:c>
      <x:c r="M272" s="11" t="str">
        <x:v>978-3-7363-1973-8</x:v>
      </x:c>
      <x:c r="N272" s="11" t="str">
        <x:v>Yes</x:v>
      </x:c>
      <x:c r="O272" s="11" t="n">
        <x:v>1</x:v>
      </x:c>
      <x:c r="P272" s="11"/>
      <x:c r="Q272" s="11" t="str">
        <x:v>Full verified</x:v>
      </x:c>
    </x:row>
    <x:row r="273">
      <x:c r="A273" s="11" t="str">
        <x:v>Alchemised</x:v>
      </x:c>
      <x:c r="B273" s="11" t="str">
        <x:v>SenLinYu</x:v>
      </x:c>
      <x:c r="C273" s="11" t="n">
        <x:f>COUNTIFS(Rankings_Master!$D$2:$D$788,A273,Rankings_Master!$E$2:$E$788,B273,Rankings_Master!$J$2:$J$788,"Yes")</x:f>
        <x:v>5</x:v>
      </x:c>
      <x:c r="D273" s="11" t="n">
        <x:f>IF(C273=0,"",MINIFS(Rankings_Master!$B$2:$B$788,Rankings_Master!$D$2:$D$788,A273,Rankings_Master!$E$2:$E$788,B273,Rankings_Master!$J$2:$J$788,"Yes"))</x:f>
        <x:v>3</x:v>
      </x:c>
      <x:c r="E273" s="14" t="n">
        <x:f>IF(C273=0,"",SUMIFS(Rankings_Master!$B$2:$B$788,Rankings_Master!$D$2:$D$788,A273,Rankings_Master!$E$2:$E$788,B273,Rankings_Master!$J$2:$J$788,"Yes")/C273)</x:f>
        <x:v>5.2</x:v>
      </x:c>
      <x:c r="F273" s="11" t="n">
        <x:f>IF(C273=0,"",MINIFS(Rankings_Master!$H$2:$H$788,Rankings_Master!$D$2:$D$788,A273,Rankings_Master!$E$2:$E$788,B273,Rankings_Master!$J$2:$J$788,"Yes"))</x:f>
        <x:v>202509</x:v>
      </x:c>
      <x:c r="G273" s="11" t="n">
        <x:f>IF(C273=0,"",MAXIFS(Rankings_Master!$H$2:$H$788,Rankings_Master!$D$2:$D$788,A273,Rankings_Master!$E$2:$E$788,B273,Rankings_Master!$J$2:$J$788,"Yes"))</x:f>
        <x:v>202601</x:v>
      </x:c>
      <x:c r="H273" s="11" t="str">
        <x:f>IF(C273=0,"Partial only",IF(C273&gt;=2,"Yes","No"))</x:f>
        <x:v>Yes</x:v>
      </x:c>
      <x:c r="I273" s="11" t="n">
        <x:f>IF(C273=0,"",INT(G273/100)-INT(F273/100)+1)</x:f>
        <x:v>2</x:v>
      </x:c>
      <x:c r="J273" s="11" t="str">
        <x:v>Fantasy / Romantasy</x:v>
      </x:c>
      <x:c r="K273" s="11" t="str">
        <x:v>Forever / Ullstein</x:v>
      </x:c>
      <x:c r="L273" s="11" t="str">
        <x:v>2025-09-23</x:v>
      </x:c>
      <x:c r="M273" s="11" t="str">
        <x:v>978-3-98978-027-9</x:v>
      </x:c>
      <x:c r="N273" s="11" t="str">
        <x:v>No</x:v>
      </x:c>
      <x:c r="O273" s="11"/>
      <x:c r="P273" s="11" t="str">
        <x:v>No</x:v>
      </x:c>
      <x:c r="Q273" s="11" t="str">
        <x:v>Edition ambiguous</x:v>
      </x:c>
    </x:row>
    <x:row r="274">
      <x:c r="A274" s="11" t="str">
        <x:v>Wie kann sie nur?</x:v>
      </x:c>
      <x:c r="B274" s="11" t="str">
        <x:v>Sophie Passmann</x:v>
      </x:c>
      <x:c r="C274" s="11" t="n">
        <x:f>COUNTIFS(Rankings_Master!$D$2:$D$788,A274,Rankings_Master!$E$2:$E$788,B274,Rankings_Master!$J$2:$J$788,"Yes")</x:f>
        <x:v>1</x:v>
      </x:c>
      <x:c r="D274" s="11" t="n">
        <x:f>IF(C274=0,"",MINIFS(Rankings_Master!$B$2:$B$788,Rankings_Master!$D$2:$D$788,A274,Rankings_Master!$E$2:$E$788,B274,Rankings_Master!$J$2:$J$788,"Yes"))</x:f>
        <x:v>20</x:v>
      </x:c>
      <x:c r="E274" s="14" t="n">
        <x:f>IF(C274=0,"",SUMIFS(Rankings_Master!$B$2:$B$788,Rankings_Master!$D$2:$D$788,A274,Rankings_Master!$E$2:$E$788,B274,Rankings_Master!$J$2:$J$788,"Yes")/C274)</x:f>
        <x:v>20</x:v>
      </x:c>
      <x:c r="F274" s="11" t="n">
        <x:f>IF(C274=0,"",MINIFS(Rankings_Master!$H$2:$H$788,Rankings_Master!$D$2:$D$788,A274,Rankings_Master!$E$2:$E$788,B274,Rankings_Master!$J$2:$J$788,"Yes"))</x:f>
        <x:v>202603</x:v>
      </x:c>
      <x:c r="G274" s="11" t="n">
        <x:f>IF(C274=0,"",MAXIFS(Rankings_Master!$H$2:$H$788,Rankings_Master!$D$2:$D$788,A274,Rankings_Master!$E$2:$E$788,B274,Rankings_Master!$J$2:$J$788,"Yes"))</x:f>
        <x:v>202603</x:v>
      </x:c>
      <x:c r="H274" s="11" t="str">
        <x:f>IF(C274=0,"Partial only",IF(C274&gt;=2,"Yes","No"))</x:f>
        <x:v>No</x:v>
      </x:c>
      <x:c r="I274" s="11" t="n">
        <x:f>IF(C274=0,"",INT(G274/100)-INT(F274/100)+1)</x:f>
        <x:v>1</x:v>
      </x:c>
      <x:c r="J274" s="11" t="str">
        <x:v>Social Commentary / Nonfiction</x:v>
      </x:c>
      <x:c r="K274" s="11" t="str">
        <x:v>Kiepenheuer &amp; Witsch</x:v>
      </x:c>
      <x:c r="L274" s="11" t="str">
        <x:v>2026-03-12</x:v>
      </x:c>
      <x:c r="M274" s="11" t="str">
        <x:v>978-3-462-00858-6</x:v>
      </x:c>
      <x:c r="N274" s="11" t="str">
        <x:v>No</x:v>
      </x:c>
      <x:c r="O274" s="11"/>
      <x:c r="P274" s="11" t="str">
        <x:v>No</x:v>
      </x:c>
      <x:c r="Q274" s="11" t="str">
        <x:v>Full verified</x:v>
      </x:c>
    </x:row>
    <x:row r="275">
      <x:c r="A275" s="11" t="str">
        <x:v>Das Kind in dir muss Heimat finden</x:v>
      </x:c>
      <x:c r="B275" s="11" t="str">
        <x:v>Stefanie Stahl</x:v>
      </x:c>
      <x:c r="C275" s="11" t="n">
        <x:f>COUNTIFS(Rankings_Master!$D$2:$D$788,A275,Rankings_Master!$E$2:$E$788,B275,Rankings_Master!$J$2:$J$788,"Yes")</x:f>
        <x:v>19</x:v>
      </x:c>
      <x:c r="D275" s="11" t="n">
        <x:f>IF(C275=0,"",MINIFS(Rankings_Master!$B$2:$B$788,Rankings_Master!$D$2:$D$788,A275,Rankings_Master!$E$2:$E$788,B275,Rankings_Master!$J$2:$J$788,"Yes"))</x:f>
        <x:v>2</x:v>
      </x:c>
      <x:c r="E275" s="14" t="n">
        <x:f>IF(C275=0,"",SUMIFS(Rankings_Master!$B$2:$B$788,Rankings_Master!$D$2:$D$788,A275,Rankings_Master!$E$2:$E$788,B275,Rankings_Master!$J$2:$J$788,"Yes")/C275)</x:f>
        <x:v>8.526315789473685</x:v>
      </x:c>
      <x:c r="F275" s="11" t="n">
        <x:f>IF(C275=0,"",MINIFS(Rankings_Master!$H$2:$H$788,Rankings_Master!$D$2:$D$788,A275,Rankings_Master!$E$2:$E$788,B275,Rankings_Master!$J$2:$J$788,"Yes"))</x:f>
        <x:v>202305</x:v>
      </x:c>
      <x:c r="G275" s="11" t="n">
        <x:f>IF(C275=0,"",MAXIFS(Rankings_Master!$H$2:$H$788,Rankings_Master!$D$2:$D$788,A275,Rankings_Master!$E$2:$E$788,B275,Rankings_Master!$J$2:$J$788,"Yes"))</x:f>
        <x:v>202603</x:v>
      </x:c>
      <x:c r="H275" s="11" t="str">
        <x:f>IF(C275=0,"Partial only",IF(C275&gt;=2,"Yes","No"))</x:f>
        <x:v>Yes</x:v>
      </x:c>
      <x:c r="I275" s="11" t="n">
        <x:f>IF(C275=0,"",INT(G275/100)-INT(F275/100)+1)</x:f>
        <x:v>4</x:v>
      </x:c>
      <x:c r="J275" s="11" t="str">
        <x:v>Self-Help / Psychology</x:v>
      </x:c>
      <x:c r="K275" s="11" t="str">
        <x:v>Kailash</x:v>
      </x:c>
      <x:c r="L275" s="11" t="str">
        <x:v>2015-11-16</x:v>
      </x:c>
      <x:c r="M275" s="11" t="str">
        <x:v>978-3-424-63107-4</x:v>
      </x:c>
      <x:c r="N275" s="11" t="str">
        <x:v>No</x:v>
      </x:c>
      <x:c r="O275" s="11"/>
      <x:c r="P275" s="11" t="str">
        <x:v>No</x:v>
      </x:c>
      <x:c r="Q275" s="11" t="str">
        <x:v>Full verified</x:v>
      </x:c>
    </x:row>
    <x:row r="276">
      <x:c r="A276" s="11" t="str">
        <x:v>Hensslers Schnelle Nummer – morgens, mittags, abends</x:v>
      </x:c>
      <x:c r="B276" s="11" t="str">
        <x:v>Steffen Henssler</x:v>
      </x:c>
      <x:c r="C276" s="11" t="n">
        <x:f>COUNTIFS(Rankings_Master!$D$2:$D$788,A276,Rankings_Master!$E$2:$E$788,B276,Rankings_Master!$J$2:$J$788,"Yes")</x:f>
        <x:v>3</x:v>
      </x:c>
      <x:c r="D276" s="11" t="n">
        <x:f>IF(C276=0,"",MINIFS(Rankings_Master!$B$2:$B$788,Rankings_Master!$D$2:$D$788,A276,Rankings_Master!$E$2:$E$788,B276,Rankings_Master!$J$2:$J$788,"Yes"))</x:f>
        <x:v>4</x:v>
      </x:c>
      <x:c r="E276" s="14" t="n">
        <x:f>IF(C276=0,"",SUMIFS(Rankings_Master!$B$2:$B$788,Rankings_Master!$D$2:$D$788,A276,Rankings_Master!$E$2:$E$788,B276,Rankings_Master!$J$2:$J$788,"Yes")/C276)</x:f>
        <x:v>9.666666666666666</x:v>
      </x:c>
      <x:c r="F276" s="11" t="n">
        <x:f>IF(C276=0,"",MINIFS(Rankings_Master!$H$2:$H$788,Rankings_Master!$D$2:$D$788,A276,Rankings_Master!$E$2:$E$788,B276,Rankings_Master!$J$2:$J$788,"Yes"))</x:f>
        <x:v>202509</x:v>
      </x:c>
      <x:c r="G276" s="11" t="n">
        <x:f>IF(C276=0,"",MAXIFS(Rankings_Master!$H$2:$H$788,Rankings_Master!$D$2:$D$788,A276,Rankings_Master!$E$2:$E$788,B276,Rankings_Master!$J$2:$J$788,"Yes"))</x:f>
        <x:v>202512</x:v>
      </x:c>
      <x:c r="H276" s="11" t="str">
        <x:f>IF(C276=0,"Partial only",IF(C276&gt;=2,"Yes","No"))</x:f>
        <x:v>Yes</x:v>
      </x:c>
      <x:c r="I276" s="11" t="n">
        <x:f>IF(C276=0,"",INT(G276/100)-INT(F276/100)+1)</x:f>
        <x:v>1</x:v>
      </x:c>
      <x:c r="J276" s="11" t="str">
        <x:v>Cooking / Nonfiction</x:v>
      </x:c>
      <x:c r="K276" s="11" t="str">
        <x:v>Gräfe und Unzer</x:v>
      </x:c>
      <x:c r="L276" s="11" t="str">
        <x:v>2025-09-18</x:v>
      </x:c>
      <x:c r="M276" s="11" t="str">
        <x:v>978-3-8338-9631-6</x:v>
      </x:c>
      <x:c r="N276" s="11" t="str">
        <x:v>No</x:v>
      </x:c>
      <x:c r="O276" s="11"/>
      <x:c r="P276" s="11" t="str">
        <x:v>No</x:v>
      </x:c>
      <x:c r="Q276" s="11" t="str">
        <x:v>Full verified</x:v>
      </x:c>
    </x:row>
    <x:row r="277">
      <x:c r="A277" s="11" t="str">
        <x:v>Black Bird Academy - Liebe den Tod</x:v>
      </x:c>
      <x:c r="B277" s="11" t="str">
        <x:v>Stella Tack</x:v>
      </x:c>
      <x:c r="C277" s="11" t="n">
        <x:f>COUNTIFS(Rankings_Master!$D$2:$D$788,A277,Rankings_Master!$E$2:$E$788,B277,Rankings_Master!$J$2:$J$788,"Yes")</x:f>
        <x:v>1</x:v>
      </x:c>
      <x:c r="D277" s="11" t="n">
        <x:f>IF(C277=0,"",MINIFS(Rankings_Master!$B$2:$B$788,Rankings_Master!$D$2:$D$788,A277,Rankings_Master!$E$2:$E$788,B277,Rankings_Master!$J$2:$J$788,"Yes"))</x:f>
        <x:v>10</x:v>
      </x:c>
      <x:c r="E277" s="14" t="n">
        <x:f>IF(C277=0,"",SUMIFS(Rankings_Master!$B$2:$B$788,Rankings_Master!$D$2:$D$788,A277,Rankings_Master!$E$2:$E$788,B277,Rankings_Master!$J$2:$J$788,"Yes")/C277)</x:f>
        <x:v>10</x:v>
      </x:c>
      <x:c r="F277" s="11" t="n">
        <x:f>IF(C277=0,"",MINIFS(Rankings_Master!$H$2:$H$788,Rankings_Master!$D$2:$D$788,A277,Rankings_Master!$E$2:$E$788,B277,Rankings_Master!$J$2:$J$788,"Yes"))</x:f>
        <x:v>202506</x:v>
      </x:c>
      <x:c r="G277" s="11" t="n">
        <x:f>IF(C277=0,"",MAXIFS(Rankings_Master!$H$2:$H$788,Rankings_Master!$D$2:$D$788,A277,Rankings_Master!$E$2:$E$788,B277,Rankings_Master!$J$2:$J$788,"Yes"))</x:f>
        <x:v>202506</x:v>
      </x:c>
      <x:c r="H277" s="11" t="str">
        <x:f>IF(C277=0,"Partial only",IF(C277&gt;=2,"Yes","No"))</x:f>
        <x:v>No</x:v>
      </x:c>
      <x:c r="I277" s="11" t="n">
        <x:f>IF(C277=0,"",INT(G277/100)-INT(F277/100)+1)</x:f>
        <x:v>1</x:v>
      </x:c>
      <x:c r="J277" s="11" t="str">
        <x:v>Fantasy / Romantasy</x:v>
      </x:c>
      <x:c r="K277" s="11" t="str">
        <x:v>Penhaligon</x:v>
      </x:c>
      <x:c r="L277" s="11" t="str">
        <x:v>2025-06-19</x:v>
      </x:c>
      <x:c r="M277" s="11" t="str">
        <x:v>978-3-7645-3284-0</x:v>
      </x:c>
      <x:c r="N277" s="11" t="str">
        <x:v>Yes</x:v>
      </x:c>
      <x:c r="O277" s="11" t="n">
        <x:v>3</x:v>
      </x:c>
      <x:c r="P277" s="11" t="str">
        <x:v>No</x:v>
      </x:c>
      <x:c r="Q277" s="11" t="str">
        <x:v>Full verified</x:v>
      </x:c>
    </x:row>
    <x:row r="278">
      <x:c r="A278" s="11" t="str">
        <x:v>Black Bird Academy - Töte die Dunkelheit</x:v>
      </x:c>
      <x:c r="B278" s="11" t="str">
        <x:v>Stella Tack</x:v>
      </x:c>
      <x:c r="C278" s="11" t="n">
        <x:f>COUNTIFS(Rankings_Master!$D$2:$D$788,A278,Rankings_Master!$E$2:$E$788,B278,Rankings_Master!$J$2:$J$788,"Yes")</x:f>
        <x:v>2</x:v>
      </x:c>
      <x:c r="D278" s="11" t="n">
        <x:f>IF(C278=0,"",MINIFS(Rankings_Master!$B$2:$B$788,Rankings_Master!$D$2:$D$788,A278,Rankings_Master!$E$2:$E$788,B278,Rankings_Master!$J$2:$J$788,"Yes"))</x:f>
        <x:v>5</x:v>
      </x:c>
      <x:c r="E278" s="14" t="n">
        <x:f>IF(C278=0,"",SUMIFS(Rankings_Master!$B$2:$B$788,Rankings_Master!$D$2:$D$788,A278,Rankings_Master!$E$2:$E$788,B278,Rankings_Master!$J$2:$J$788,"Yes")/C278)</x:f>
        <x:v>8.5</x:v>
      </x:c>
      <x:c r="F278" s="11" t="n">
        <x:f>IF(C278=0,"",MINIFS(Rankings_Master!$H$2:$H$788,Rankings_Master!$D$2:$D$788,A278,Rankings_Master!$E$2:$E$788,B278,Rankings_Master!$J$2:$J$788,"Yes"))</x:f>
        <x:v>202304</x:v>
      </x:c>
      <x:c r="G278" s="11" t="n">
        <x:f>IF(C278=0,"",MAXIFS(Rankings_Master!$H$2:$H$788,Rankings_Master!$D$2:$D$788,A278,Rankings_Master!$E$2:$E$788,B278,Rankings_Master!$J$2:$J$788,"Yes"))</x:f>
        <x:v>202305</x:v>
      </x:c>
      <x:c r="H278" s="11" t="str">
        <x:f>IF(C278=0,"Partial only",IF(C278&gt;=2,"Yes","No"))</x:f>
        <x:v>Yes</x:v>
      </x:c>
      <x:c r="I278" s="11" t="n">
        <x:f>IF(C278=0,"",INT(G278/100)-INT(F278/100)+1)</x:f>
        <x:v>1</x:v>
      </x:c>
      <x:c r="J278" s="11" t="str">
        <x:v>Fantasy / Romantasy</x:v>
      </x:c>
      <x:c r="K278" s="11" t="str">
        <x:v>Penhaligon</x:v>
      </x:c>
      <x:c r="L278" s="11" t="str">
        <x:v>2023-04-12</x:v>
      </x:c>
      <x:c r="M278" s="11" t="str">
        <x:v>978-3-7645-3282-6</x:v>
      </x:c>
      <x:c r="N278" s="11" t="str">
        <x:v>Yes</x:v>
      </x:c>
      <x:c r="O278" s="11" t="n">
        <x:v>1</x:v>
      </x:c>
      <x:c r="P278" s="11"/>
      <x:c r="Q278" s="11" t="str">
        <x:v>Full verified</x:v>
      </x:c>
    </x:row>
    <x:row r="279">
      <x:c r="A279" s="11" t="str">
        <x:v>Once Upon a Broken Heart</x:v>
      </x:c>
      <x:c r="B279" s="11" t="str">
        <x:v>Stephanie Garber</x:v>
      </x:c>
      <x:c r="C279" s="11" t="n">
        <x:f>COUNTIFS(Rankings_Master!$D$2:$D$788,A279,Rankings_Master!$E$2:$E$788,B279,Rankings_Master!$J$2:$J$788,"Yes")</x:f>
        <x:v>1</x:v>
      </x:c>
      <x:c r="D279" s="11" t="n">
        <x:f>IF(C279=0,"",MINIFS(Rankings_Master!$B$2:$B$788,Rankings_Master!$D$2:$D$788,A279,Rankings_Master!$E$2:$E$788,B279,Rankings_Master!$J$2:$J$788,"Yes"))</x:f>
        <x:v>12</x:v>
      </x:c>
      <x:c r="E279" s="14" t="n">
        <x:f>IF(C279=0,"",SUMIFS(Rankings_Master!$B$2:$B$788,Rankings_Master!$D$2:$D$788,A279,Rankings_Master!$E$2:$E$788,B279,Rankings_Master!$J$2:$J$788,"Yes")/C279)</x:f>
        <x:v>12</x:v>
      </x:c>
      <x:c r="F279" s="11" t="n">
        <x:f>IF(C279=0,"",MINIFS(Rankings_Master!$H$2:$H$788,Rankings_Master!$D$2:$D$788,A279,Rankings_Master!$E$2:$E$788,B279,Rankings_Master!$J$2:$J$788,"Yes"))</x:f>
        <x:v>202311</x:v>
      </x:c>
      <x:c r="G279" s="11" t="n">
        <x:f>IF(C279=0,"",MAXIFS(Rankings_Master!$H$2:$H$788,Rankings_Master!$D$2:$D$788,A279,Rankings_Master!$E$2:$E$788,B279,Rankings_Master!$J$2:$J$788,"Yes"))</x:f>
        <x:v>202311</x:v>
      </x:c>
      <x:c r="H279" s="11" t="str">
        <x:f>IF(C279=0,"Partial only",IF(C279&gt;=2,"Yes","No"))</x:f>
        <x:v>No</x:v>
      </x:c>
      <x:c r="I279" s="11" t="n">
        <x:f>IF(C279=0,"",INT(G279/100)-INT(F279/100)+1)</x:f>
        <x:v>1</x:v>
      </x:c>
      <x:c r="J279" s="11" t="str">
        <x:v>Fantasy / Romantasy</x:v>
      </x:c>
      <x:c r="K279" s="11" t="str">
        <x:v>cbj</x:v>
      </x:c>
      <x:c r="L279" s="11" t="str">
        <x:v>2023-11-15</x:v>
      </x:c>
      <x:c r="M279" s="11" t="str">
        <x:v>978-3-570-16706-9</x:v>
      </x:c>
      <x:c r="N279" s="11" t="str">
        <x:v>Yes</x:v>
      </x:c>
      <x:c r="O279" s="11" t="n">
        <x:v>1</x:v>
      </x:c>
      <x:c r="P279" s="11" t="str">
        <x:v>No</x:v>
      </x:c>
      <x:c r="Q279" s="11" t="str">
        <x:v>Full verified</x:v>
      </x:c>
    </x:row>
    <x:row r="280">
      <x:c r="A280" s="11" t="str">
        <x:v>The Ballad of Never After</x:v>
      </x:c>
      <x:c r="B280" s="11" t="str">
        <x:v>Stephanie Garber</x:v>
      </x:c>
      <x:c r="C280" s="11" t="n">
        <x:f>COUNTIFS(Rankings_Master!$D$2:$D$788,A280,Rankings_Master!$E$2:$E$788,B280,Rankings_Master!$J$2:$J$788,"Yes")</x:f>
        <x:v>1</x:v>
      </x:c>
      <x:c r="D280" s="11" t="n">
        <x:f>IF(C280=0,"",MINIFS(Rankings_Master!$B$2:$B$788,Rankings_Master!$D$2:$D$788,A280,Rankings_Master!$E$2:$E$788,B280,Rankings_Master!$J$2:$J$788,"Yes"))</x:f>
        <x:v>2</x:v>
      </x:c>
      <x:c r="E280" s="14" t="n">
        <x:f>IF(C280=0,"",SUMIFS(Rankings_Master!$B$2:$B$788,Rankings_Master!$D$2:$D$788,A280,Rankings_Master!$E$2:$E$788,B280,Rankings_Master!$J$2:$J$788,"Yes")/C280)</x:f>
        <x:v>2</x:v>
      </x:c>
      <x:c r="F280" s="11" t="n">
        <x:f>IF(C280=0,"",MINIFS(Rankings_Master!$H$2:$H$788,Rankings_Master!$D$2:$D$788,A280,Rankings_Master!$E$2:$E$788,B280,Rankings_Master!$J$2:$J$788,"Yes"))</x:f>
        <x:v>202406</x:v>
      </x:c>
      <x:c r="G280" s="11" t="n">
        <x:f>IF(C280=0,"",MAXIFS(Rankings_Master!$H$2:$H$788,Rankings_Master!$D$2:$D$788,A280,Rankings_Master!$E$2:$E$788,B280,Rankings_Master!$J$2:$J$788,"Yes"))</x:f>
        <x:v>202406</x:v>
      </x:c>
      <x:c r="H280" s="11" t="str">
        <x:f>IF(C280=0,"Partial only",IF(C280&gt;=2,"Yes","No"))</x:f>
        <x:v>No</x:v>
      </x:c>
      <x:c r="I280" s="11" t="n">
        <x:f>IF(C280=0,"",INT(G280/100)-INT(F280/100)+1)</x:f>
        <x:v>1</x:v>
      </x:c>
      <x:c r="J280" s="11" t="str">
        <x:v>Fantasy / Romantasy</x:v>
      </x:c>
      <x:c r="K280" s="11" t="str">
        <x:v>cbj</x:v>
      </x:c>
      <x:c r="L280" s="11" t="str">
        <x:v>2024-06-26</x:v>
      </x:c>
      <x:c r="M280" s="11" t="str">
        <x:v>978-3-570-16718-2</x:v>
      </x:c>
      <x:c r="N280" s="11" t="str">
        <x:v>Yes</x:v>
      </x:c>
      <x:c r="O280" s="11" t="n">
        <x:v>2</x:v>
      </x:c>
      <x:c r="P280" s="11" t="str">
        <x:v>No</x:v>
      </x:c>
      <x:c r="Q280" s="11" t="str">
        <x:v>Full verified</x:v>
      </x:c>
    </x:row>
    <x:row r="281">
      <x:c r="A281" s="11" t="str">
        <x:v>Die Tribute von Panem L. Der Tag bricht an</x:v>
      </x:c>
      <x:c r="B281" s="11" t="str">
        <x:v>Suzanne Collins</x:v>
      </x:c>
      <x:c r="C281" s="11" t="n">
        <x:f>COUNTIFS(Rankings_Master!$D$2:$D$788,A281,Rankings_Master!$E$2:$E$788,B281,Rankings_Master!$J$2:$J$788,"Yes")</x:f>
        <x:v>6</x:v>
      </x:c>
      <x:c r="D281" s="11" t="n">
        <x:f>IF(C281=0,"",MINIFS(Rankings_Master!$B$2:$B$788,Rankings_Master!$D$2:$D$788,A281,Rankings_Master!$E$2:$E$788,B281,Rankings_Master!$J$2:$J$788,"Yes"))</x:f>
        <x:v>1</x:v>
      </x:c>
      <x:c r="E281" s="14" t="n">
        <x:f>IF(C281=0,"",SUMIFS(Rankings_Master!$B$2:$B$788,Rankings_Master!$D$2:$D$788,A281,Rankings_Master!$E$2:$E$788,B281,Rankings_Master!$J$2:$J$788,"Yes")/C281)</x:f>
        <x:v>2.5</x:v>
      </x:c>
      <x:c r="F281" s="11" t="n">
        <x:f>IF(C281=0,"",MINIFS(Rankings_Master!$H$2:$H$788,Rankings_Master!$D$2:$D$788,A281,Rankings_Master!$E$2:$E$788,B281,Rankings_Master!$J$2:$J$788,"Yes"))</x:f>
        <x:v>202503</x:v>
      </x:c>
      <x:c r="G281" s="11" t="n">
        <x:f>IF(C281=0,"",MAXIFS(Rankings_Master!$H$2:$H$788,Rankings_Master!$D$2:$D$788,A281,Rankings_Master!$E$2:$E$788,B281,Rankings_Master!$J$2:$J$788,"Yes"))</x:f>
        <x:v>202508</x:v>
      </x:c>
      <x:c r="H281" s="11" t="str">
        <x:f>IF(C281=0,"Partial only",IF(C281&gt;=2,"Yes","No"))</x:f>
        <x:v>Yes</x:v>
      </x:c>
      <x:c r="I281" s="11" t="n">
        <x:f>IF(C281=0,"",INT(G281/100)-INT(F281/100)+1)</x:f>
        <x:v>1</x:v>
      </x:c>
      <x:c r="J281" s="11" t="str">
        <x:v>YA / Dystopian</x:v>
      </x:c>
      <x:c r="K281" s="11" t="str">
        <x:v>Oetinger</x:v>
      </x:c>
      <x:c r="L281" s="11" t="str">
        <x:v>2025-03-18</x:v>
      </x:c>
      <x:c r="M281" s="11" t="str">
        <x:v>978-3-7512-0716-4</x:v>
      </x:c>
      <x:c r="N281" s="11" t="str">
        <x:v>Yes</x:v>
      </x:c>
      <x:c r="O281" s="11" t="n">
        <x:v>5</x:v>
      </x:c>
      <x:c r="P281" s="11" t="str">
        <x:v>No</x:v>
      </x:c>
      <x:c r="Q281" s="11" t="str">
        <x:v>Full verified</x:v>
      </x:c>
    </x:row>
    <x:row r="282">
      <x:c r="A282" s="11" t="str">
        <x:v>Imagine Me</x:v>
      </x:c>
      <x:c r="B282" s="11" t="str">
        <x:v>Tahereh Mafi</x:v>
      </x:c>
      <x:c r="C282" s="11" t="n">
        <x:f>COUNTIFS(Rankings_Master!$D$2:$D$788,A282,Rankings_Master!$E$2:$E$788,B282,Rankings_Master!$J$2:$J$788,"Yes")</x:f>
        <x:v>1</x:v>
      </x:c>
      <x:c r="D282" s="11" t="n">
        <x:f>IF(C282=0,"",MINIFS(Rankings_Master!$B$2:$B$788,Rankings_Master!$D$2:$D$788,A282,Rankings_Master!$E$2:$E$788,B282,Rankings_Master!$J$2:$J$788,"Yes"))</x:f>
        <x:v>18</x:v>
      </x:c>
      <x:c r="E282" s="14" t="n">
        <x:f>IF(C282=0,"",SUMIFS(Rankings_Master!$B$2:$B$788,Rankings_Master!$D$2:$D$788,A282,Rankings_Master!$E$2:$E$788,B282,Rankings_Master!$J$2:$J$788,"Yes")/C282)</x:f>
        <x:v>18</x:v>
      </x:c>
      <x:c r="F282" s="11" t="n">
        <x:f>IF(C282=0,"",MINIFS(Rankings_Master!$H$2:$H$788,Rankings_Master!$D$2:$D$788,A282,Rankings_Master!$E$2:$E$788,B282,Rankings_Master!$J$2:$J$788,"Yes"))</x:f>
        <x:v>202403</x:v>
      </x:c>
      <x:c r="G282" s="11" t="n">
        <x:f>IF(C282=0,"",MAXIFS(Rankings_Master!$H$2:$H$788,Rankings_Master!$D$2:$D$788,A282,Rankings_Master!$E$2:$E$788,B282,Rankings_Master!$J$2:$J$788,"Yes"))</x:f>
        <x:v>202403</x:v>
      </x:c>
      <x:c r="H282" s="11" t="str">
        <x:f>IF(C282=0,"Partial only",IF(C282&gt;=2,"Yes","No"))</x:f>
        <x:v>No</x:v>
      </x:c>
      <x:c r="I282" s="11" t="n">
        <x:f>IF(C282=0,"",INT(G282/100)-INT(F282/100)+1)</x:f>
        <x:v>1</x:v>
      </x:c>
      <x:c r="J282" s="11" t="str">
        <x:v>YA Fantasy / Dystopian</x:v>
      </x:c>
      <x:c r="K282" s="11" t="str">
        <x:v>cbt</x:v>
      </x:c>
      <x:c r="L282" s="11" t="str">
        <x:v>2024-03-13</x:v>
      </x:c>
      <x:c r="M282" s="11" t="str">
        <x:v>978-3-570-31643-6</x:v>
      </x:c>
      <x:c r="N282" s="11" t="str">
        <x:v>Yes</x:v>
      </x:c>
      <x:c r="O282" s="11" t="n">
        <x:v>6</x:v>
      </x:c>
      <x:c r="P282" s="11" t="str">
        <x:v>No</x:v>
      </x:c>
      <x:c r="Q282" s="11" t="str">
        <x:v>Full verified</x:v>
      </x:c>
    </x:row>
    <x:row r="283">
      <x:c r="A283" s="11" t="str">
        <x:v>Release Me</x:v>
      </x:c>
      <x:c r="B283" s="11" t="str">
        <x:v>Tahereh Mafi</x:v>
      </x:c>
      <x:c r="C283" s="11" t="n">
        <x:f>COUNTIFS(Rankings_Master!$D$2:$D$788,A283,Rankings_Master!$E$2:$E$788,B283,Rankings_Master!$J$2:$J$788,"Yes")</x:f>
        <x:v>1</x:v>
      </x:c>
      <x:c r="D283" s="11" t="n">
        <x:f>IF(C283=0,"",MINIFS(Rankings_Master!$B$2:$B$788,Rankings_Master!$D$2:$D$788,A283,Rankings_Master!$E$2:$E$788,B283,Rankings_Master!$J$2:$J$788,"Yes"))</x:f>
        <x:v>3</x:v>
      </x:c>
      <x:c r="E283" s="14" t="n">
        <x:f>IF(C283=0,"",SUMIFS(Rankings_Master!$B$2:$B$788,Rankings_Master!$D$2:$D$788,A283,Rankings_Master!$E$2:$E$788,B283,Rankings_Master!$J$2:$J$788,"Yes")/C283)</x:f>
        <x:v>3</x:v>
      </x:c>
      <x:c r="F283" s="11" t="n">
        <x:f>IF(C283=0,"",MINIFS(Rankings_Master!$H$2:$H$788,Rankings_Master!$D$2:$D$788,A283,Rankings_Master!$E$2:$E$788,B283,Rankings_Master!$J$2:$J$788,"Yes"))</x:f>
        <x:v>202604</x:v>
      </x:c>
      <x:c r="G283" s="11" t="n">
        <x:f>IF(C283=0,"",MAXIFS(Rankings_Master!$H$2:$H$788,Rankings_Master!$D$2:$D$788,A283,Rankings_Master!$E$2:$E$788,B283,Rankings_Master!$J$2:$J$788,"Yes"))</x:f>
        <x:v>202604</x:v>
      </x:c>
      <x:c r="H283" s="11" t="str">
        <x:f>IF(C283=0,"Partial only",IF(C283&gt;=2,"Yes","No"))</x:f>
        <x:v>No</x:v>
      </x:c>
      <x:c r="I283" s="11" t="n">
        <x:f>IF(C283=0,"",INT(G283/100)-INT(F283/100)+1)</x:f>
        <x:v>1</x:v>
      </x:c>
      <x:c r="J283" s="11" t="str">
        <x:v>YA Fantasy / Dystopian</x:v>
      </x:c>
      <x:c r="K283" s="11" t="str">
        <x:v>cbj</x:v>
      </x:c>
      <x:c r="L283" s="11" t="str">
        <x:v>2026-04-16</x:v>
      </x:c>
      <x:c r="M283" s="11" t="str">
        <x:v>978-3-570-16779-3</x:v>
      </x:c>
      <x:c r="N283" s="11" t="str">
        <x:v>Yes</x:v>
      </x:c>
      <x:c r="O283" s="11" t="n">
        <x:v>2</x:v>
      </x:c>
      <x:c r="P283" s="11" t="str">
        <x:v>No</x:v>
      </x:c>
      <x:c r="Q283" s="11" t="str">
        <x:v>Full verified</x:v>
      </x:c>
    </x:row>
    <x:row r="284">
      <x:c r="A284" s="11" t="str">
        <x:v>Shatter Me</x:v>
      </x:c>
      <x:c r="B284" s="11" t="str">
        <x:v>Tahereh Mafi</x:v>
      </x:c>
      <x:c r="C284" s="11" t="n">
        <x:f>COUNTIFS(Rankings_Master!$D$2:$D$788,A284,Rankings_Master!$E$2:$E$788,B284,Rankings_Master!$J$2:$J$788,"Yes")</x:f>
        <x:v>4</x:v>
      </x:c>
      <x:c r="D284" s="11" t="n">
        <x:f>IF(C284=0,"",MINIFS(Rankings_Master!$B$2:$B$788,Rankings_Master!$D$2:$D$788,A284,Rankings_Master!$E$2:$E$788,B284,Rankings_Master!$J$2:$J$788,"Yes"))</x:f>
        <x:v>8</x:v>
      </x:c>
      <x:c r="E284" s="14" t="n">
        <x:f>IF(C284=0,"",SUMIFS(Rankings_Master!$B$2:$B$788,Rankings_Master!$D$2:$D$788,A284,Rankings_Master!$E$2:$E$788,B284,Rankings_Master!$J$2:$J$788,"Yes")/C284)</x:f>
        <x:v>8.5</x:v>
      </x:c>
      <x:c r="F284" s="11" t="n">
        <x:f>IF(C284=0,"",MINIFS(Rankings_Master!$H$2:$H$788,Rankings_Master!$D$2:$D$788,A284,Rankings_Master!$E$2:$E$788,B284,Rankings_Master!$J$2:$J$788,"Yes"))</x:f>
        <x:v>202305</x:v>
      </x:c>
      <x:c r="G284" s="11" t="n">
        <x:f>IF(C284=0,"",MAXIFS(Rankings_Master!$H$2:$H$788,Rankings_Master!$D$2:$D$788,A284,Rankings_Master!$E$2:$E$788,B284,Rankings_Master!$J$2:$J$788,"Yes"))</x:f>
        <x:v>202403</x:v>
      </x:c>
      <x:c r="H284" s="11" t="str">
        <x:f>IF(C284=0,"Partial only",IF(C284&gt;=2,"Yes","No"))</x:f>
        <x:v>Yes</x:v>
      </x:c>
      <x:c r="I284" s="11" t="n">
        <x:f>IF(C284=0,"",INT(G284/100)-INT(F284/100)+1)</x:f>
        <x:v>2</x:v>
      </x:c>
      <x:c r="J284" s="11" t="str">
        <x:v>YA Fantasy / Dystopian</x:v>
      </x:c>
      <x:c r="K284" s="11" t="str">
        <x:v>cbt</x:v>
      </x:c>
      <x:c r="L284" s="11" t="str">
        <x:v>2023-05-11</x:v>
      </x:c>
      <x:c r="M284" s="11" t="str">
        <x:v>978-3-570-31638-2</x:v>
      </x:c>
      <x:c r="N284" s="11" t="str">
        <x:v>Yes</x:v>
      </x:c>
      <x:c r="O284" s="11" t="n">
        <x:v>1</x:v>
      </x:c>
      <x:c r="P284" s="11" t="str">
        <x:v>No</x:v>
      </x:c>
      <x:c r="Q284" s="11" t="str">
        <x:v>Full verified</x:v>
      </x:c>
    </x:row>
    <x:row r="285">
      <x:c r="A285" s="11" t="str">
        <x:v>Watch Me - Ein Shatter-Me-Roman</x:v>
      </x:c>
      <x:c r="B285" s="11" t="str">
        <x:v>Tahereh Mafi</x:v>
      </x:c>
      <x:c r="C285" s="11" t="n">
        <x:f>COUNTIFS(Rankings_Master!$D$2:$D$788,A285,Rankings_Master!$E$2:$E$788,B285,Rankings_Master!$J$2:$J$788,"Yes")</x:f>
        <x:v>1</x:v>
      </x:c>
      <x:c r="D285" s="11" t="n">
        <x:f>IF(C285=0,"",MINIFS(Rankings_Master!$B$2:$B$788,Rankings_Master!$D$2:$D$788,A285,Rankings_Master!$E$2:$E$788,B285,Rankings_Master!$J$2:$J$788,"Yes"))</x:f>
        <x:v>12</x:v>
      </x:c>
      <x:c r="E285" s="14" t="n">
        <x:f>IF(C285=0,"",SUMIFS(Rankings_Master!$B$2:$B$788,Rankings_Master!$D$2:$D$788,A285,Rankings_Master!$E$2:$E$788,B285,Rankings_Master!$J$2:$J$788,"Yes")/C285)</x:f>
        <x:v>12</x:v>
      </x:c>
      <x:c r="F285" s="11" t="n">
        <x:f>IF(C285=0,"",MINIFS(Rankings_Master!$H$2:$H$788,Rankings_Master!$D$2:$D$788,A285,Rankings_Master!$E$2:$E$788,B285,Rankings_Master!$J$2:$J$788,"Yes"))</x:f>
        <x:v>202504</x:v>
      </x:c>
      <x:c r="G285" s="11" t="n">
        <x:f>IF(C285=0,"",MAXIFS(Rankings_Master!$H$2:$H$788,Rankings_Master!$D$2:$D$788,A285,Rankings_Master!$E$2:$E$788,B285,Rankings_Master!$J$2:$J$788,"Yes"))</x:f>
        <x:v>202504</x:v>
      </x:c>
      <x:c r="H285" s="11" t="str">
        <x:f>IF(C285=0,"Partial only",IF(C285&gt;=2,"Yes","No"))</x:f>
        <x:v>No</x:v>
      </x:c>
      <x:c r="I285" s="11" t="n">
        <x:f>IF(C285=0,"",INT(G285/100)-INT(F285/100)+1)</x:f>
        <x:v>1</x:v>
      </x:c>
      <x:c r="J285" s="11" t="str">
        <x:v>YA Fantasy / Dystopian</x:v>
      </x:c>
      <x:c r="K285" s="11" t="str">
        <x:v>cbj</x:v>
      </x:c>
      <x:c r="L285" s="11" t="str">
        <x:v>2025-04-16</x:v>
      </x:c>
      <x:c r="M285" s="11" t="str">
        <x:v>978-3-570-16767-0</x:v>
      </x:c>
      <x:c r="N285" s="11" t="str">
        <x:v>Yes</x:v>
      </x:c>
      <x:c r="O285" s="11" t="n">
        <x:v>1</x:v>
      </x:c>
      <x:c r="P285" s="11" t="str">
        <x:v>No</x:v>
      </x:c>
      <x:c r="Q285" s="11" t="str">
        <x:v>Full verified</x:v>
      </x:c>
    </x:row>
    <x:row r="286">
      <x:c r="A286" s="11" t="str">
        <x:v>»Mama, bitte lern Deutsch«</x:v>
      </x:c>
      <x:c r="B286" s="11" t="str">
        <x:v>Tahsim Durgun</x:v>
      </x:c>
      <x:c r="C286" s="11" t="n">
        <x:f>COUNTIFS(Rankings_Master!$D$2:$D$788,A286,Rankings_Master!$E$2:$E$788,B286,Rankings_Master!$J$2:$J$788,"Yes")</x:f>
        <x:v>13</x:v>
      </x:c>
      <x:c r="D286" s="11" t="n">
        <x:f>IF(C286=0,"",MINIFS(Rankings_Master!$B$2:$B$788,Rankings_Master!$D$2:$D$788,A286,Rankings_Master!$E$2:$E$788,B286,Rankings_Master!$J$2:$J$788,"Yes"))</x:f>
        <x:v>2</x:v>
      </x:c>
      <x:c r="E286" s="14" t="n">
        <x:f>IF(C286=0,"",SUMIFS(Rankings_Master!$B$2:$B$788,Rankings_Master!$D$2:$D$788,A286,Rankings_Master!$E$2:$E$788,B286,Rankings_Master!$J$2:$J$788,"Yes")/C286)</x:f>
        <x:v>9.538461538461538</x:v>
      </x:c>
      <x:c r="F286" s="11" t="n">
        <x:f>IF(C286=0,"",MINIFS(Rankings_Master!$H$2:$H$788,Rankings_Master!$D$2:$D$788,A286,Rankings_Master!$E$2:$E$788,B286,Rankings_Master!$J$2:$J$788,"Yes"))</x:f>
        <x:v>202503</x:v>
      </x:c>
      <x:c r="G286" s="11" t="n">
        <x:f>IF(C286=0,"",MAXIFS(Rankings_Master!$H$2:$H$788,Rankings_Master!$D$2:$D$788,A286,Rankings_Master!$E$2:$E$788,B286,Rankings_Master!$J$2:$J$788,"Yes"))</x:f>
        <x:v>202604</x:v>
      </x:c>
      <x:c r="H286" s="11" t="str">
        <x:f>IF(C286=0,"Partial only",IF(C286&gt;=2,"Yes","No"))</x:f>
        <x:v>Yes</x:v>
      </x:c>
      <x:c r="I286" s="11" t="n">
        <x:f>IF(C286=0,"",INT(G286/100)-INT(F286/100)+1)</x:f>
        <x:v>2</x:v>
      </x:c>
      <x:c r="J286" s="11" t="str">
        <x:v>Memoir / Social Commentary</x:v>
      </x:c>
      <x:c r="K286" s="11" t="str">
        <x:v>Droemer / Knaur</x:v>
      </x:c>
      <x:c r="L286" s="11" t="str">
        <x:v>2025-03-03</x:v>
      </x:c>
      <x:c r="M286" s="11" t="str">
        <x:v>978-3-426-56114-0</x:v>
      </x:c>
      <x:c r="N286" s="11" t="str">
        <x:v>No</x:v>
      </x:c>
      <x:c r="O286" s="11"/>
      <x:c r="P286" s="11" t="str">
        <x:v>No</x:v>
      </x:c>
      <x:c r="Q286" s="11" t="str">
        <x:v>Full verified</x:v>
      </x:c>
    </x:row>
    <x:row r="287">
      <x:c r="A287" s="11" t="str">
        <x:v>Pretty Scandalous - Heißer als Rache</x:v>
      </x:c>
      <x:c r="B287" s="11" t="str">
        <x:v>Tami Fischer</x:v>
      </x:c>
      <x:c r="C287" s="11" t="n">
        <x:f>COUNTIFS(Rankings_Master!$D$2:$D$788,A287,Rankings_Master!$E$2:$E$788,B287,Rankings_Master!$J$2:$J$788,"Yes")</x:f>
        <x:v>3</x:v>
      </x:c>
      <x:c r="D287" s="11" t="n">
        <x:f>IF(C287=0,"",MINIFS(Rankings_Master!$B$2:$B$788,Rankings_Master!$D$2:$D$788,A287,Rankings_Master!$E$2:$E$788,B287,Rankings_Master!$J$2:$J$788,"Yes"))</x:f>
        <x:v>14</x:v>
      </x:c>
      <x:c r="E287" s="14" t="n">
        <x:f>IF(C287=0,"",SUMIFS(Rankings_Master!$B$2:$B$788,Rankings_Master!$D$2:$D$788,A287,Rankings_Master!$E$2:$E$788,B287,Rankings_Master!$J$2:$J$788,"Yes")/C287)</x:f>
        <x:v>15.666666666666666</x:v>
      </x:c>
      <x:c r="F287" s="11" t="n">
        <x:f>IF(C287=0,"",MINIFS(Rankings_Master!$H$2:$H$788,Rankings_Master!$D$2:$D$788,A287,Rankings_Master!$E$2:$E$788,B287,Rankings_Master!$J$2:$J$788,"Yes"))</x:f>
        <x:v>202404</x:v>
      </x:c>
      <x:c r="G287" s="11" t="n">
        <x:f>IF(C287=0,"",MAXIFS(Rankings_Master!$H$2:$H$788,Rankings_Master!$D$2:$D$788,A287,Rankings_Master!$E$2:$E$788,B287,Rankings_Master!$J$2:$J$788,"Yes"))</x:f>
        <x:v>202412</x:v>
      </x:c>
      <x:c r="H287" s="11" t="str">
        <x:f>IF(C287=0,"Partial only",IF(C287&gt;=2,"Yes","No"))</x:f>
        <x:v>Yes</x:v>
      </x:c>
      <x:c r="I287" s="11" t="n">
        <x:f>IF(C287=0,"",INT(G287/100)-INT(F287/100)+1)</x:f>
        <x:v>1</x:v>
      </x:c>
      <x:c r="J287" s="11" t="str">
        <x:v>Romance / New Adult</x:v>
      </x:c>
      <x:c r="K287" s="11" t="str">
        <x:v>Blanvalet</x:v>
      </x:c>
      <x:c r="L287" s="11" t="str">
        <x:v>2024-03-13</x:v>
      </x:c>
      <x:c r="M287" s="11" t="str">
        <x:v>978-3-7341-1263-8</x:v>
      </x:c>
      <x:c r="N287" s="11" t="str">
        <x:v>Yes</x:v>
      </x:c>
      <x:c r="O287" s="11" t="n">
        <x:v>1</x:v>
      </x:c>
      <x:c r="P287" s="11" t="str">
        <x:v>No</x:v>
      </x:c>
      <x:c r="Q287" s="11" t="str">
        <x:v>Full verified</x:v>
      </x:c>
    </x:row>
    <x:row r="288">
      <x:c r="A288" s="11" t="str">
        <x:v>Alea Aquarius 10. Der Stern des Schicksals</x:v>
      </x:c>
      <x:c r="B288" s="11" t="str">
        <x:v>Tanya Stewner</x:v>
      </x:c>
      <x:c r="C288" s="11" t="n">
        <x:f>COUNTIFS(Rankings_Master!$D$2:$D$788,A288,Rankings_Master!$E$2:$E$788,B288,Rankings_Master!$J$2:$J$788,"Yes")</x:f>
        <x:v>1</x:v>
      </x:c>
      <x:c r="D288" s="11" t="n">
        <x:f>IF(C288=0,"",MINIFS(Rankings_Master!$B$2:$B$788,Rankings_Master!$D$2:$D$788,A288,Rankings_Master!$E$2:$E$788,B288,Rankings_Master!$J$2:$J$788,"Yes"))</x:f>
        <x:v>19</x:v>
      </x:c>
      <x:c r="E288" s="14" t="n">
        <x:f>IF(C288=0,"",SUMIFS(Rankings_Master!$B$2:$B$788,Rankings_Master!$D$2:$D$788,A288,Rankings_Master!$E$2:$E$788,B288,Rankings_Master!$J$2:$J$788,"Yes")/C288)</x:f>
        <x:v>19</x:v>
      </x:c>
      <x:c r="F288" s="11" t="n">
        <x:f>IF(C288=0,"",MINIFS(Rankings_Master!$H$2:$H$788,Rankings_Master!$D$2:$D$788,A288,Rankings_Master!$E$2:$E$788,B288,Rankings_Master!$J$2:$J$788,"Yes"))</x:f>
        <x:v>202510</x:v>
      </x:c>
      <x:c r="G288" s="11" t="n">
        <x:f>IF(C288=0,"",MAXIFS(Rankings_Master!$H$2:$H$788,Rankings_Master!$D$2:$D$788,A288,Rankings_Master!$E$2:$E$788,B288,Rankings_Master!$J$2:$J$788,"Yes"))</x:f>
        <x:v>202510</x:v>
      </x:c>
      <x:c r="H288" s="11" t="str">
        <x:f>IF(C288=0,"Partial only",IF(C288&gt;=2,"Yes","No"))</x:f>
        <x:v>No</x:v>
      </x:c>
      <x:c r="I288" s="11" t="n">
        <x:f>IF(C288=0,"",INT(G288/100)-INT(F288/100)+1)</x:f>
        <x:v>1</x:v>
      </x:c>
      <x:c r="J288" s="11" t="str">
        <x:v>Fantasy / Children's &amp; YA</x:v>
      </x:c>
      <x:c r="K288" s="11" t="str">
        <x:v>Oetinger</x:v>
      </x:c>
      <x:c r="L288" s="11" t="str">
        <x:v>2025-09-26</x:v>
      </x:c>
      <x:c r="M288" s="11" t="str">
        <x:v>978-3-7891-0766-5</x:v>
      </x:c>
      <x:c r="N288" s="11" t="str">
        <x:v>Yes</x:v>
      </x:c>
      <x:c r="O288" s="11" t="n">
        <x:v>10</x:v>
      </x:c>
      <x:c r="P288" s="11" t="str">
        <x:v>No</x:v>
      </x:c>
      <x:c r="Q288" s="11" t="str">
        <x:v>Full verified</x:v>
      </x:c>
    </x:row>
    <x:row r="289">
      <x:c r="A289" s="11" t="str">
        <x:v>Monas Augen - Eine Reise zu den schönsten Kunstwerken unserer Zeit</x:v>
      </x:c>
      <x:c r="B289" s="11" t="str">
        <x:v>Thomas Schlesser</x:v>
      </x:c>
      <x:c r="C289" s="11" t="n">
        <x:f>COUNTIFS(Rankings_Master!$D$2:$D$788,A289,Rankings_Master!$E$2:$E$788,B289,Rankings_Master!$J$2:$J$788,"Yes")</x:f>
        <x:v>2</x:v>
      </x:c>
      <x:c r="D289" s="11" t="n">
        <x:f>IF(C289=0,"",MINIFS(Rankings_Master!$B$2:$B$788,Rankings_Master!$D$2:$D$788,A289,Rankings_Master!$E$2:$E$788,B289,Rankings_Master!$J$2:$J$788,"Yes"))</x:f>
        <x:v>19</x:v>
      </x:c>
      <x:c r="E289" s="14" t="n">
        <x:f>IF(C289=0,"",SUMIFS(Rankings_Master!$B$2:$B$788,Rankings_Master!$D$2:$D$788,A289,Rankings_Master!$E$2:$E$788,B289,Rankings_Master!$J$2:$J$788,"Yes")/C289)</x:f>
        <x:v>19</x:v>
      </x:c>
      <x:c r="F289" s="11" t="n">
        <x:f>IF(C289=0,"",MINIFS(Rankings_Master!$H$2:$H$788,Rankings_Master!$D$2:$D$788,A289,Rankings_Master!$E$2:$E$788,B289,Rankings_Master!$J$2:$J$788,"Yes"))</x:f>
        <x:v>202603</x:v>
      </x:c>
      <x:c r="G289" s="11" t="n">
        <x:f>IF(C289=0,"",MAXIFS(Rankings_Master!$H$2:$H$788,Rankings_Master!$D$2:$D$788,A289,Rankings_Master!$E$2:$E$788,B289,Rankings_Master!$J$2:$J$788,"Yes"))</x:f>
        <x:v>202604</x:v>
      </x:c>
      <x:c r="H289" s="11" t="str">
        <x:f>IF(C289=0,"Partial only",IF(C289&gt;=2,"Yes","No"))</x:f>
        <x:v>Yes</x:v>
      </x:c>
      <x:c r="I289" s="11" t="n">
        <x:f>IF(C289=0,"",INT(G289/100)-INT(F289/100)+1)</x:f>
        <x:v>1</x:v>
      </x:c>
      <x:c r="J289" s="11" t="str">
        <x:v>Contemporary Fiction / Art</x:v>
      </x:c>
      <x:c r="K289" s="11" t="str">
        <x:v>Piper</x:v>
      </x:c>
      <x:c r="L289" s="11" t="str">
        <x:v>2026-02-27</x:v>
      </x:c>
      <x:c r="M289" s="11" t="str">
        <x:v>978-3-492-06800-0</x:v>
      </x:c>
      <x:c r="N289" s="11" t="str">
        <x:v>No</x:v>
      </x:c>
      <x:c r="O289" s="11"/>
      <x:c r="P289" s="11" t="str">
        <x:v>No</x:v>
      </x:c>
      <x:c r="Q289" s="11" t="str">
        <x:v>Full verified</x:v>
      </x:c>
    </x:row>
    <x:row r="290">
      <x:c r="A290" s="11" t="str">
        <x:v>99 Mind Hacks</x:v>
      </x:c>
      <x:c r="B290" s="11" t="str">
        <x:v>Timon Krause</x:v>
      </x:c>
      <x:c r="C290" s="11" t="n">
        <x:f>COUNTIFS(Rankings_Master!$D$2:$D$788,A290,Rankings_Master!$E$2:$E$788,B290,Rankings_Master!$J$2:$J$788,"Yes")</x:f>
        <x:v>1</x:v>
      </x:c>
      <x:c r="D290" s="11" t="n">
        <x:f>IF(C290=0,"",MINIFS(Rankings_Master!$B$2:$B$788,Rankings_Master!$D$2:$D$788,A290,Rankings_Master!$E$2:$E$788,B290,Rankings_Master!$J$2:$J$788,"Yes"))</x:f>
        <x:v>19</x:v>
      </x:c>
      <x:c r="E290" s="14" t="n">
        <x:f>IF(C290=0,"",SUMIFS(Rankings_Master!$B$2:$B$788,Rankings_Master!$D$2:$D$788,A290,Rankings_Master!$E$2:$E$788,B290,Rankings_Master!$J$2:$J$788,"Yes")/C290)</x:f>
        <x:v>19</x:v>
      </x:c>
      <x:c r="F290" s="11" t="n">
        <x:f>IF(C290=0,"",MINIFS(Rankings_Master!$H$2:$H$788,Rankings_Master!$D$2:$D$788,A290,Rankings_Master!$E$2:$E$788,B290,Rankings_Master!$J$2:$J$788,"Yes"))</x:f>
        <x:v>202607</x:v>
      </x:c>
      <x:c r="G290" s="11" t="n">
        <x:f>IF(C290=0,"",MAXIFS(Rankings_Master!$H$2:$H$788,Rankings_Master!$D$2:$D$788,A290,Rankings_Master!$E$2:$E$788,B290,Rankings_Master!$J$2:$J$788,"Yes"))</x:f>
        <x:v>202607</x:v>
      </x:c>
      <x:c r="H290" s="11" t="str">
        <x:f>IF(C290=0,"Partial only",IF(C290&gt;=2,"Yes","No"))</x:f>
        <x:v>No</x:v>
      </x:c>
      <x:c r="I290" s="11" t="n">
        <x:f>IF(C290=0,"",INT(G290/100)-INT(F290/100)+1)</x:f>
        <x:v>1</x:v>
      </x:c>
      <x:c r="J290" s="11" t="str">
        <x:v>Self-Help / Psychology</x:v>
      </x:c>
      <x:c r="K290" s="11" t="str">
        <x:v>Rowohlt Taschenbuch</x:v>
      </x:c>
      <x:c r="L290" s="11" t="str">
        <x:v>2026-05-15</x:v>
      </x:c>
      <x:c r="M290" s="11" t="str">
        <x:v>978-3-499-01878-7</x:v>
      </x:c>
      <x:c r="N290" s="11" t="str">
        <x:v>No</x:v>
      </x:c>
      <x:c r="O290" s="11"/>
      <x:c r="P290" s="11" t="str">
        <x:v>No</x:v>
      </x:c>
      <x:c r="Q290" s="11" t="str">
        <x:v>Full verified</x:v>
      </x:c>
    </x:row>
    <x:row r="291">
      <x:c r="A291" s="11" t="str">
        <x:v>Sweet Nightmare</x:v>
      </x:c>
      <x:c r="B291" s="11" t="str">
        <x:v>Tracy Wolff</x:v>
      </x:c>
      <x:c r="C291" s="11" t="n">
        <x:f>COUNTIFS(Rankings_Master!$D$2:$D$788,A291,Rankings_Master!$E$2:$E$788,B291,Rankings_Master!$J$2:$J$788,"Yes")</x:f>
        <x:v>0</x:v>
      </x:c>
      <x:c r="D291" s="11" t="str">
        <x:f>IF(C291=0,"",MINIFS(Rankings_Master!$B$2:$B$788,Rankings_Master!$D$2:$D$788,A291,Rankings_Master!$E$2:$E$788,B291,Rankings_Master!$J$2:$J$788,"Yes"))</x:f>
      </x:c>
      <x:c r="E291" s="14" t="str">
        <x:f>IF(C291=0,"",SUMIFS(Rankings_Master!$B$2:$B$788,Rankings_Master!$D$2:$D$788,A291,Rankings_Master!$E$2:$E$788,B291,Rankings_Master!$J$2:$J$788,"Yes")/C291)</x:f>
      </x:c>
      <x:c r="F291" s="11" t="str">
        <x:f>IF(C291=0,"",MINIFS(Rankings_Master!$H$2:$H$788,Rankings_Master!$D$2:$D$788,A291,Rankings_Master!$E$2:$E$788,B291,Rankings_Master!$J$2:$J$788,"Yes"))</x:f>
      </x:c>
      <x:c r="G291" s="11" t="str">
        <x:f>IF(C291=0,"",MAXIFS(Rankings_Master!$H$2:$H$788,Rankings_Master!$D$2:$D$788,A291,Rankings_Master!$E$2:$E$788,B291,Rankings_Master!$J$2:$J$788,"Yes"))</x:f>
      </x:c>
      <x:c r="H291" s="11" t="str">
        <x:f>IF(C291=0,"Partial only",IF(C291&gt;=2,"Yes","No"))</x:f>
        <x:v>Partial only</x:v>
      </x:c>
      <x:c r="I291" s="11" t="str">
        <x:f>IF(C291=0,"",INT(G291/100)-INT(F291/100)+1)</x:f>
      </x:c>
      <x:c r="J291" s="11" t="str">
        <x:v>Fantasy / Romantasy</x:v>
      </x:c>
      <x:c r="K291" s="11" t="str">
        <x:v>dtv</x:v>
      </x:c>
      <x:c r="L291" s="11" t="str">
        <x:v>2024-11-14</x:v>
      </x:c>
      <x:c r="M291" s="11" t="str">
        <x:v>978-3-423-76544-2</x:v>
      </x:c>
      <x:c r="N291" s="11" t="str">
        <x:v>Yes</x:v>
      </x:c>
      <x:c r="O291" s="11" t="n">
        <x:v>1</x:v>
      </x:c>
      <x:c r="P291" s="11" t="str">
        <x:v>No</x:v>
      </x:c>
      <x:c r="Q291" s="11" t="str">
        <x:v>Full verified</x:v>
      </x:c>
    </x:row>
    <x:row r="292">
      <x:c r="A292" s="11" t="str">
        <x:v>Die Insel der Tausend Leuchttürme</x:v>
      </x:c>
      <x:c r="B292" s="11" t="str">
        <x:v>Walter Moers</x:v>
      </x:c>
      <x:c r="C292" s="11" t="n">
        <x:f>COUNTIFS(Rankings_Master!$D$2:$D$788,A292,Rankings_Master!$E$2:$E$788,B292,Rankings_Master!$J$2:$J$788,"Yes")</x:f>
        <x:v>1</x:v>
      </x:c>
      <x:c r="D292" s="11" t="n">
        <x:f>IF(C292=0,"",MINIFS(Rankings_Master!$B$2:$B$788,Rankings_Master!$D$2:$D$788,A292,Rankings_Master!$E$2:$E$788,B292,Rankings_Master!$J$2:$J$788,"Yes"))</x:f>
        <x:v>9</x:v>
      </x:c>
      <x:c r="E292" s="14" t="n">
        <x:f>IF(C292=0,"",SUMIFS(Rankings_Master!$B$2:$B$788,Rankings_Master!$D$2:$D$788,A292,Rankings_Master!$E$2:$E$788,B292,Rankings_Master!$J$2:$J$788,"Yes")/C292)</x:f>
        <x:v>9</x:v>
      </x:c>
      <x:c r="F292" s="11" t="n">
        <x:f>IF(C292=0,"",MINIFS(Rankings_Master!$H$2:$H$788,Rankings_Master!$D$2:$D$788,A292,Rankings_Master!$E$2:$E$788,B292,Rankings_Master!$J$2:$J$788,"Yes"))</x:f>
        <x:v>202409</x:v>
      </x:c>
      <x:c r="G292" s="11" t="n">
        <x:f>IF(C292=0,"",MAXIFS(Rankings_Master!$H$2:$H$788,Rankings_Master!$D$2:$D$788,A292,Rankings_Master!$E$2:$E$788,B292,Rankings_Master!$J$2:$J$788,"Yes"))</x:f>
        <x:v>202409</x:v>
      </x:c>
      <x:c r="H292" s="11" t="str">
        <x:f>IF(C292=0,"Partial only",IF(C292&gt;=2,"Yes","No"))</x:f>
        <x:v>No</x:v>
      </x:c>
      <x:c r="I292" s="11" t="n">
        <x:f>IF(C292=0,"",INT(G292/100)-INT(F292/100)+1)</x:f>
        <x:v>1</x:v>
      </x:c>
      <x:c r="J292" s="11" t="str">
        <x:v>Fantasy</x:v>
      </x:c>
      <x:c r="K292" s="11" t="str">
        <x:v>Penguin</x:v>
      </x:c>
      <x:c r="L292" s="11" t="str">
        <x:v>2023-09-06</x:v>
      </x:c>
      <x:c r="M292" s="11" t="str">
        <x:v>978-3-328-60006-0</x:v>
      </x:c>
      <x:c r="N292" s="11" t="str">
        <x:v>Yes</x:v>
      </x:c>
      <x:c r="O292" s="11"/>
      <x:c r="P292" s="11" t="str">
        <x:v>No</x:v>
      </x:c>
      <x:c r="Q292" s="11" t="str">
        <x:v>Full verified</x:v>
      </x:c>
    </x:row>
    <x:row r="293">
      <x:c r="A293" s="11" t="str">
        <x:v>Qwert</x:v>
      </x:c>
      <x:c r="B293" s="11" t="str">
        <x:v>Walter Moers</x:v>
      </x:c>
      <x:c r="C293" s="11" t="n">
        <x:f>COUNTIFS(Rankings_Master!$D$2:$D$788,A293,Rankings_Master!$E$2:$E$788,B293,Rankings_Master!$J$2:$J$788,"Yes")</x:f>
        <x:v>2</x:v>
      </x:c>
      <x:c r="D293" s="11" t="n">
        <x:f>IF(C293=0,"",MINIFS(Rankings_Master!$B$2:$B$788,Rankings_Master!$D$2:$D$788,A293,Rankings_Master!$E$2:$E$788,B293,Rankings_Master!$J$2:$J$788,"Yes"))</x:f>
        <x:v>5</x:v>
      </x:c>
      <x:c r="E293" s="14" t="n">
        <x:f>IF(C293=0,"",SUMIFS(Rankings_Master!$B$2:$B$788,Rankings_Master!$D$2:$D$788,A293,Rankings_Master!$E$2:$E$788,B293,Rankings_Master!$J$2:$J$788,"Yes")/C293)</x:f>
        <x:v>6</x:v>
      </x:c>
      <x:c r="F293" s="11" t="n">
        <x:f>IF(C293=0,"",MINIFS(Rankings_Master!$H$2:$H$788,Rankings_Master!$D$2:$D$788,A293,Rankings_Master!$E$2:$E$788,B293,Rankings_Master!$J$2:$J$788,"Yes"))</x:f>
        <x:v>202511</x:v>
      </x:c>
      <x:c r="G293" s="11" t="n">
        <x:f>IF(C293=0,"",MAXIFS(Rankings_Master!$H$2:$H$788,Rankings_Master!$D$2:$D$788,A293,Rankings_Master!$E$2:$E$788,B293,Rankings_Master!$J$2:$J$788,"Yes"))</x:f>
        <x:v>202512</x:v>
      </x:c>
      <x:c r="H293" s="11" t="str">
        <x:f>IF(C293=0,"Partial only",IF(C293&gt;=2,"Yes","No"))</x:f>
        <x:v>Yes</x:v>
      </x:c>
      <x:c r="I293" s="11" t="n">
        <x:f>IF(C293=0,"",INT(G293/100)-INT(F293/100)+1)</x:f>
        <x:v>1</x:v>
      </x:c>
      <x:c r="J293" s="11" t="str">
        <x:v>Fantasy</x:v>
      </x:c>
      <x:c r="K293" s="11" t="str">
        <x:v>Penguin</x:v>
      </x:c>
      <x:c r="L293" s="11" t="str">
        <x:v>2025-11-05</x:v>
      </x:c>
      <x:c r="M293" s="11" t="str">
        <x:v>978-3-328-60427-3</x:v>
      </x:c>
      <x:c r="N293" s="11" t="str">
        <x:v>Yes</x:v>
      </x:c>
      <x:c r="O293" s="11"/>
      <x:c r="P293" s="11" t="str">
        <x:v>No</x:v>
      </x:c>
      <x:c r="Q293" s="11" t="str">
        <x:v>Full verified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30" hidden="0" customWidth="1"/>
    <x:col min="4" max="4" width="38" hidden="0" customWidth="1"/>
    <x:col min="6" max="6" width="20" hidden="0" customWidth="1"/>
    <x:col min="7" max="7" width="54" hidden="0" customWidth="1"/>
  </x:cols>
  <x:sheetData>
    <x:row r="1">
      <x:c r="A1" s="26" t="str">
        <x:v>rank</x:v>
      </x:c>
      <x:c r="B1" s="26" t="str">
        <x:v>title</x:v>
      </x:c>
      <x:c r="C1" s="26" t="str">
        <x:v>author</x:v>
      </x:c>
      <x:c r="D1" s="26" t="str">
        <x:v>source</x:v>
      </x:c>
      <x:c r="E1" s="11"/>
      <x:c r="F1" s="11" t="str">
        <x:v>Status</x:v>
      </x:c>
      <x:c r="G1" s="11" t="str">
        <x:v>Partial November 2024 retained in master</x:v>
      </x:c>
    </x:row>
    <x:row r="2">
      <x:c r="A2" t="n">
        <x:v>1</x:v>
      </x:c>
      <x:c r="B2" t="str">
        <x:v>Vergissmeinnicht - Was die Welt zusammenhält</x:v>
      </x:c>
      <x:c r="C2" t="str">
        <x:v>Kerstin Gier</x:v>
      </x:c>
      <x:c r="D2" t="str">
        <x:v>Börsenblatt / Media Control &amp; TikTok</x:v>
      </x:c>
      <x:c r="F2" t="str">
        <x:v>Known positions</x:v>
      </x:c>
      <x:c r="G2" t="n">
        <x:v>7</x:v>
      </x:c>
    </x:row>
    <x:row r="3">
      <x:c r="A3" t="n">
        <x:v>2</x:v>
      </x:c>
      <x:c r="B3" t="str">
        <x:v>Regents</x:v>
      </x:c>
      <x:c r="C3" t="str">
        <x:v>Isabelle North</x:v>
      </x:c>
      <x:c r="D3" t="str">
        <x:v>Börsenblatt / Media Control &amp; TikTok</x:v>
      </x:c>
      <x:c r="F3" t="str">
        <x:v>Missing positions</x:v>
      </x:c>
      <x:c r="G3" t="str">
        <x:v>Not reconstructed</x:v>
      </x:c>
    </x:row>
    <x:row r="4">
      <x:c r="A4" t="n">
        <x:v>4</x:v>
      </x:c>
      <x:c r="B4" t="str">
        <x:v>King of Sloth</x:v>
      </x:c>
      <x:c r="C4" t="str">
        <x:v>Ana Huang</x:v>
      </x:c>
      <x:c r="D4" t="str">
        <x:v>Börsenblatt / Media Control &amp; TikTok</x:v>
      </x:c>
      <x:c r="F4" t="str">
        <x:v>Core metrics</x:v>
      </x:c>
      <x:c r="G4" t="str">
        <x:v>Excluded via main_analysis_include = No</x:v>
      </x:c>
    </x:row>
    <x:row r="5">
      <x:c r="A5" t="n">
        <x:v>6</x:v>
      </x:c>
      <x:c r="B5" t="str">
        <x:v>Larsson Legacy</x:v>
      </x:c>
      <x:c r="C5" t="str">
        <x:v>Carolin Wahl</x:v>
      </x:c>
      <x:c r="D5" t="str">
        <x:v>Börsenblatt / Media Control &amp; TikTok</x:v>
      </x:c>
      <x:c r="F5" t="str">
        <x:v>Reason</x:v>
      </x:c>
      <x:c r="G5" t="str">
        <x:v>No complete official November poster was available</x:v>
      </x:c>
    </x:row>
    <x:row r="6">
      <x:c r="A6" t="n">
        <x:v>7</x:v>
      </x:c>
      <x:c r="B6" t="str">
        <x:v>My Dark Romeo</x:v>
      </x:c>
      <x:c r="C6" t="str">
        <x:v>L. J. Shen &amp; Parker S. Huntington</x:v>
      </x:c>
      <x:c r="D6" t="str">
        <x:v>Börsenblatt / Media Control &amp; TikTok</x:v>
      </x:c>
      <x:c r="F6" t="str">
        <x:v>Rule</x:v>
      </x:c>
      <x:c r="G6" t="str">
        <x:v>Never infer a missing rank solely from surrounding months</x:v>
      </x:c>
    </x:row>
    <x:row r="7">
      <x:c r="A7" t="n">
        <x:v>16</x:v>
      </x:c>
      <x:c r="B7" t="str">
        <x:v>Sweet Nightmare</x:v>
      </x:c>
      <x:c r="C7" t="str">
        <x:v>Tracy Wolff</x:v>
      </x:c>
      <x:c r="D7" t="str">
        <x:v>Börsenblatt / Media Control &amp; TikTok</x:v>
      </x:c>
    </x:row>
    <x:row r="8">
      <x:c r="A8" t="n">
        <x:v>18</x:v>
      </x:c>
      <x:c r="B8" t="str">
        <x:v>The Big Five for Life</x:v>
      </x:c>
      <x:c r="C8" t="str">
        <x:v>John Strelecky</x:v>
      </x:c>
      <x:c r="D8" t="str">
        <x:v>Börsenblatt / Media Control &amp; TikTok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8" hidden="0" customWidth="1"/>
  </x:cols>
  <x:sheetData>
    <x:row r="1">
      <x:c r="A1" s="30" t="str">
        <x:v>Metric</x:v>
      </x:c>
      <x:c r="B1" s="30" t="str">
        <x:v>Value</x:v>
      </x:c>
    </x:row>
    <x:row r="2">
      <x:c r="A2" t="str">
        <x:v>Ranking coverage 2023</x:v>
      </x:c>
      <x:c r="B2" t="str">
        <x:v>Apr-Dec complete (9 months)</x:v>
      </x:c>
    </x:row>
    <x:row r="3">
      <x:c r="A3" t="str">
        <x:v>Ranking coverage 2024</x:v>
      </x:c>
      <x:c r="B3" t="str">
        <x:v>Jan-Oct + Dec complete; November partial (7 confirmed rows)</x:v>
      </x:c>
    </x:row>
    <x:row r="4">
      <x:c r="A4" t="str">
        <x:v>Ranking coverage 2025</x:v>
      </x:c>
      <x:c r="B4" t="str">
        <x:v>Jan-Dec complete (12 months / 240 rows)</x:v>
      </x:c>
    </x:row>
    <x:row r="5">
      <x:c r="A5" t="str">
        <x:v>Ranking coverage 2026</x:v>
      </x:c>
      <x:c r="B5" t="str">
        <x:v>Jan-Jul complete (7 months / 140 rows)</x:v>
      </x:c>
    </x:row>
    <x:row r="6">
      <x:c r="A6" t="str">
        <x:v>Total ranking rows</x:v>
      </x:c>
      <x:c r="B6" t="n">
        <x:v>787</x:v>
      </x:c>
    </x:row>
    <x:row r="7">
      <x:c r="A7" t="str">
        <x:v>Rows used in core longitudinal metrics</x:v>
      </x:c>
      <x:c r="B7" t="n">
        <x:v>780</x:v>
      </x:c>
    </x:row>
    <x:row r="8">
      <x:c r="A8" t="str">
        <x:v>Partial ranking rows stored</x:v>
      </x:c>
      <x:c r="B8" t="n">
        <x:v>7</x:v>
      </x:c>
    </x:row>
    <x:row r="9">
      <x:c r="A9" t="str">
        <x:v>Unique canonical book/author pairs</x:v>
      </x:c>
      <x:c r="B9" t="n">
        <x:v>292</x:v>
      </x:c>
    </x:row>
    <x:row r="10">
      <x:c r="A10" t="str">
        <x:v>Metadata rows</x:v>
      </x:c>
      <x:c r="B10" t="n">
        <x:v>292</x:v>
      </x:c>
    </x:row>
    <x:row r="11">
      <x:c r="A11" t="str">
        <x:v>Full verified metadata</x:v>
      </x:c>
      <x:c r="B11" t="n">
        <x:v>249</x:v>
      </x:c>
    </x:row>
    <x:row r="12">
      <x:c r="A12" t="str">
        <x:v>Core verified metadata</x:v>
      </x:c>
      <x:c r="B12" t="n">
        <x:v>32</x:v>
      </x:c>
    </x:row>
    <x:row r="13">
      <x:c r="A13" t="str">
        <x:v>Edition ambiguous metadata</x:v>
      </x:c>
      <x:c r="B13" t="n">
        <x:v>10</x:v>
      </x:c>
    </x:row>
    <x:row r="14">
      <x:c r="A14" t="str">
        <x:v>2026 metadata rows added</x:v>
      </x:c>
      <x:c r="B14" t="n">
        <x:v>60</x:v>
      </x:c>
    </x:row>
    <x:row r="15">
      <x:c r="A15" t="str">
        <x:v>Month assignment rule</x:v>
      </x:c>
      <x:c r="B15" t="str">
        <x:v>Month printed on each official poster; upload order ignored</x:v>
      </x:c>
    </x:row>
    <x:row r="16">
      <x:c r="A16" t="str">
        <x:v>Edition rule</x:v>
      </x:c>
      <x:c r="B16" t="str">
        <x:v>Relevant chart-era edition where identifiable; ambiguous/import-edition cases explicitly flagged</x:v>
      </x:c>
    </x:row>
    <x:row r="17">
      <x:c r="A17" s="11" t="str">
        <x:v>2024 pending metadata repaired</x:v>
      </x:c>
      <x:c r="B17" s="11" t="n">
        <x:v>68</x:v>
      </x:c>
    </x:row>
    <x:row r="18">
      <x:c r="A18" s="11" t="str">
        <x:v>Remaining New 2024 metadata pending</x:v>
      </x:c>
      <x:c r="B18" s="11" t="n">
        <x:v>0</x:v>
      </x:c>
    </x:row>
    <x:row r="19">
      <x:c r="A19" s="11" t="str">
        <x:v>Repair source</x:v>
      </x:c>
      <x:c r="B19" s="11" t="str">
        <x:v>Restored from the previously verified 2024 metadata workbook; four unmatched title variants were filled from the same verified research notes.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42" hidden="0" customWidth="1"/>
    <x:col min="4" max="4" width="52" hidden="0" customWidth="1"/>
    <x:col min="6" max="6" width="24" hidden="0" customWidth="1"/>
    <x:col min="7" max="7" width="68" hidden="0" customWidth="1"/>
  </x:cols>
  <x:sheetData>
    <x:row r="1">
      <x:c r="A1" s="20" t="str">
        <x:v>Field</x:v>
      </x:c>
      <x:c r="B1" s="20" t="str">
        <x:v>Definition</x:v>
      </x:c>
      <x:c r="C1" s="20" t="str">
        <x:v>Why it matters</x:v>
      </x:c>
      <x:c r="D1" s="20" t="str">
        <x:v>Rule</x:v>
      </x:c>
      <x:c r="F1" s="30" t="str">
        <x:v>2026 metadata note</x:v>
      </x:c>
      <x:c r="G1" s="30" t="str">
        <x:v>Rule</x:v>
      </x:c>
    </x:row>
    <x:row r="2">
      <x:c r="A2" t="str">
        <x:v>canonical_title</x:v>
      </x:c>
      <x:c r="B2" t="str">
        <x:v>Normalized title used to group the same work across poster wording/edition variants</x:v>
      </x:c>
      <x:c r="C2" t="str">
        <x:v>Prevents false duplicates</x:v>
      </x:c>
      <x:c r="D2" t="str">
        <x:v>Original title is always kept in title_as_listed</x:v>
      </x:c>
      <x:c r="F2" t="str">
        <x:v>Imported editions</x:v>
      </x:c>
      <x:c r="G2" t="str">
        <x:v>If a title charts before the German print release, metadata_status is Edition ambiguous.</x:v>
      </x:c>
    </x:row>
    <x:row r="3">
      <x:c r="A3" t="str">
        <x:v>author</x:v>
      </x:c>
      <x:c r="B3" t="str">
        <x:v>Author(s) attached to the chart entry</x:v>
      </x:c>
      <x:c r="C3" t="str">
        <x:v>Disambiguates identical titles</x:v>
      </x:c>
      <x:c r="D3" t="str">
        <x:v>Example: Fearless by Elsie Silver vs Lauren Roberts</x:v>
      </x:c>
      <x:c r="F3" t="str">
        <x:v>Canonical title</x:v>
      </x:c>
      <x:c r="G3" t="str">
        <x:v>Poster wording may change; canonical_title groups only clearly identical works.</x:v>
      </x:c>
    </x:row>
    <x:row r="4">
      <x:c r="A4" t="str">
        <x:v>months_in_chart</x:v>
      </x:c>
      <x:c r="B4" t="str">
        <x:v>Number of complete monthly Overall Top-20 appearances</x:v>
      </x:c>
      <x:c r="C4" t="str">
        <x:v>Core longevity measure</x:v>
      </x:c>
      <x:c r="D4" t="str">
        <x:v>Partial Nov 2024 excluded</x:v>
      </x:c>
      <x:c r="F4" t="str">
        <x:v>Ranking months</x:v>
      </x:c>
      <x:c r="G4" t="str">
        <x:v>Always taken from the month printed on the poster, never upload order.</x:v>
      </x:c>
    </x:row>
    <x:row r="5">
      <x:c r="A5" t="str">
        <x:v>best_rank</x:v>
      </x:c>
      <x:c r="B5" t="str">
        <x:v>Best position achieved in a complete month</x:v>
      </x:c>
      <x:c r="C5" t="str">
        <x:v>Ranking strength</x:v>
      </x:c>
      <x:c r="D5" t="str">
        <x:v>1 is best</x:v>
      </x:c>
      <x:c r="F5" t="str">
        <x:v>Core analysis</x:v>
      </x:c>
      <x:c r="G5" t="str">
        <x:v>Partial November 2024 remains excluded from longevity/rank metrics.</x:v>
      </x:c>
    </x:row>
    <x:row r="6">
      <x:c r="A6" t="str">
        <x:v>avg_rank</x:v>
      </x:c>
      <x:c r="B6" t="str">
        <x:v>Average position across complete monthly appearances</x:v>
      </x:c>
      <x:c r="C6" t="str">
        <x:v>Persistence + strength</x:v>
      </x:c>
      <x:c r="D6" t="str">
        <x:v>Lower is better</x:v>
      </x:c>
    </x:row>
    <x:row r="7">
      <x:c r="A7" t="str">
        <x:v>publication_date_de</x:v>
      </x:c>
      <x:c r="B7" t="str">
        <x:v>Relevant chart-era edition publication date</x:v>
      </x:c>
      <x:c r="C7" t="str">
        <x:v>Backlist/book-age analysis</x:v>
      </x:c>
      <x:c r="D7" t="str">
        <x:v>English chart-era edition used when German translation did not yet exist</x:v>
      </x:c>
    </x:row>
    <x:row r="8">
      <x:c r="A8" t="str">
        <x:v>isbn_13</x:v>
      </x:c>
      <x:c r="B8" t="str">
        <x:v>Identifier for the selected edition</x:v>
      </x:c>
      <x:c r="C8" t="str">
        <x:v>Reliable matching / audit trail</x:v>
      </x:c>
      <x:c r="D8" t="str">
        <x:v>Not an explanatory variable itself</x:v>
      </x:c>
    </x:row>
    <x:row r="9">
      <x:c r="A9" t="str">
        <x:v>metadata_status</x:v>
      </x:c>
      <x:c r="B9" t="str">
        <x:v>Confidence/edition clarity</x:v>
      </x:c>
      <x:c r="C9" t="str">
        <x:v>Data-quality transparency</x:v>
      </x:c>
      <x:c r="D9" t="str">
        <x:v>Full verified / Core verified / Edition ambiguous</x:v>
      </x:c>
    </x:row>
    <x:row r="10">
      <x:c r="A10" t="str">
        <x:v>self_published</x:v>
      </x:c>
      <x:c r="B10" t="str">
        <x:v>Author-published or author-imprint publication model</x:v>
      </x:c>
      <x:c r="C10" t="str">
        <x:v>Independent-author angle</x:v>
      </x:c>
      <x:c r="D10" t="str">
        <x:v>Only coded Yes when publishing evidence supports it</x:v>
      </x:c>
    </x:row>
    <x:row r="11">
      <x:c r="A11" t="str">
        <x:v>main_analysis_include</x:v>
      </x:c>
      <x:c r="B11" t="str">
        <x:v>Whether a ranking row enters core metrics</x:v>
      </x:c>
      <x:c r="C11" t="str">
        <x:v>Avoids incomplete-month bias</x:v>
      </x:c>
      <x:c r="D11" t="str">
        <x:v>No for partial November 2024 rows</x:v>
      </x:c>
    </x:row>
  </x:sheetData>
  <x:pageMargins left="0.7" right="0.7" top="0.75" bottom="0.75" header="0.3" footer="0.3"/>
</x:worksheet>
</file>